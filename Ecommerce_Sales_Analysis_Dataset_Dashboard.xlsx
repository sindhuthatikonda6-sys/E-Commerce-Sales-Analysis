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b6f8cb5248191b9/Desktop/"/>
    </mc:Choice>
  </mc:AlternateContent>
  <xr:revisionPtr revIDLastSave="0" documentId="8_{5BAFEE1D-D609-4C47-8D50-B8A845B39CA8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Sheet1" sheetId="3" r:id="rId1"/>
    <sheet name="Sheet2" sheetId="4" r:id="rId2"/>
    <sheet name="Sheet3" sheetId="5" r:id="rId3"/>
    <sheet name="Sheet4" sheetId="6" r:id="rId4"/>
    <sheet name="Sales Data" sheetId="1" r:id="rId5"/>
    <sheet name="DASHBOARD" sheetId="8" r:id="rId6"/>
    <sheet name="Project Guide" sheetId="2" r:id="rId7"/>
  </sheets>
  <definedNames>
    <definedName name="_xlnm._FilterDatabase" localSheetId="4" hidden="1">'Sales Data'!$A$1:$J$101</definedName>
  </definedNames>
  <calcPr calcId="191029"/>
  <pivotCaches>
    <pivotCache cacheId="7" r:id="rId8"/>
    <pivotCache cacheId="1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L5" i="1"/>
  <c r="L4" i="1"/>
  <c r="L3" i="1"/>
  <c r="L2" i="1"/>
</calcChain>
</file>

<file path=xl/sharedStrings.xml><?xml version="1.0" encoding="utf-8"?>
<sst xmlns="http://schemas.openxmlformats.org/spreadsheetml/2006/main" count="665" uniqueCount="225">
  <si>
    <t>Order ID</t>
  </si>
  <si>
    <t>Order Date</t>
  </si>
  <si>
    <t>Customer</t>
  </si>
  <si>
    <t>City</t>
  </si>
  <si>
    <t>Product</t>
  </si>
  <si>
    <t>Category</t>
  </si>
  <si>
    <t>Quantity</t>
  </si>
  <si>
    <t>Unit Price (₹)</t>
  </si>
  <si>
    <t>Sales (₹)</t>
  </si>
  <si>
    <t>Payment Method</t>
  </si>
  <si>
    <t>ORD0001</t>
  </si>
  <si>
    <t>Customer 036</t>
  </si>
  <si>
    <t>Mumbai</t>
  </si>
  <si>
    <t>Jeans</t>
  </si>
  <si>
    <t>Fashion</t>
  </si>
  <si>
    <t>Credit Card</t>
  </si>
  <si>
    <t>ORD0004</t>
  </si>
  <si>
    <t>Customer 072</t>
  </si>
  <si>
    <t>Desk Lamp</t>
  </si>
  <si>
    <t>Home &amp; Kitchen</t>
  </si>
  <si>
    <t>Net Banking</t>
  </si>
  <si>
    <t>ORD0003</t>
  </si>
  <si>
    <t>Customer 012</t>
  </si>
  <si>
    <t>Water Bottle</t>
  </si>
  <si>
    <t>ORD0033</t>
  </si>
  <si>
    <t>Customer 044</t>
  </si>
  <si>
    <t>Hyderabad</t>
  </si>
  <si>
    <t>Bluetooth Speaker</t>
  </si>
  <si>
    <t>Electronics</t>
  </si>
  <si>
    <t>ORD0072</t>
  </si>
  <si>
    <t>Pune</t>
  </si>
  <si>
    <t>Backpack</t>
  </si>
  <si>
    <t>Stationery</t>
  </si>
  <si>
    <t>ORD0029</t>
  </si>
  <si>
    <t>Customer 011</t>
  </si>
  <si>
    <t>Visakhapatnam</t>
  </si>
  <si>
    <t>UPI</t>
  </si>
  <si>
    <t>ORD0009</t>
  </si>
  <si>
    <t>Customer 071</t>
  </si>
  <si>
    <t>Delhi</t>
  </si>
  <si>
    <t>Keyboard</t>
  </si>
  <si>
    <t>ORD0007</t>
  </si>
  <si>
    <t>Customer 049</t>
  </si>
  <si>
    <t>Bengaluru</t>
  </si>
  <si>
    <t>Debit Card</t>
  </si>
  <si>
    <t>ORD0020</t>
  </si>
  <si>
    <t>Customer 007</t>
  </si>
  <si>
    <t>ORD0091</t>
  </si>
  <si>
    <t>Customer 059</t>
  </si>
  <si>
    <t>Chennai</t>
  </si>
  <si>
    <t>Cash on Delivery</t>
  </si>
  <si>
    <t>ORD0030</t>
  </si>
  <si>
    <t>Customer 061</t>
  </si>
  <si>
    <t>ORD0062</t>
  </si>
  <si>
    <t>Customer 034</t>
  </si>
  <si>
    <t>Wireless Mouse</t>
  </si>
  <si>
    <t>ORD0058</t>
  </si>
  <si>
    <t>Notebook</t>
  </si>
  <si>
    <t>ORD0097</t>
  </si>
  <si>
    <t>Customer 020</t>
  </si>
  <si>
    <t>ORD0018</t>
  </si>
  <si>
    <t>Customer 032</t>
  </si>
  <si>
    <t>USB-C Cable</t>
  </si>
  <si>
    <t>ORD0059</t>
  </si>
  <si>
    <t>Customer 035</t>
  </si>
  <si>
    <t>Running Shoes</t>
  </si>
  <si>
    <t>ORD0012</t>
  </si>
  <si>
    <t>Customer 048</t>
  </si>
  <si>
    <t>Coffee Mug</t>
  </si>
  <si>
    <t>ORD0014</t>
  </si>
  <si>
    <t>Customer 060</t>
  </si>
  <si>
    <t>Vijayawada</t>
  </si>
  <si>
    <t>ORD0045</t>
  </si>
  <si>
    <t>ORD0049</t>
  </si>
  <si>
    <t>Customer 009</t>
  </si>
  <si>
    <t>ORD0038</t>
  </si>
  <si>
    <t>Customer 013</t>
  </si>
  <si>
    <t>ORD0010</t>
  </si>
  <si>
    <t>ORD0088</t>
  </si>
  <si>
    <t>Customer 050</t>
  </si>
  <si>
    <t>ORD0060</t>
  </si>
  <si>
    <t>ORD0017</t>
  </si>
  <si>
    <t>Customer 064</t>
  </si>
  <si>
    <t>T-Shirt</t>
  </si>
  <si>
    <t>ORD0047</t>
  </si>
  <si>
    <t>Customer 008</t>
  </si>
  <si>
    <t>ORD0015</t>
  </si>
  <si>
    <t>Customer 042</t>
  </si>
  <si>
    <t>ORD0070</t>
  </si>
  <si>
    <t>Customer 026</t>
  </si>
  <si>
    <t>ORD0071</t>
  </si>
  <si>
    <t>Customer 004</t>
  </si>
  <si>
    <t>ORD0086</t>
  </si>
  <si>
    <t>ORD0035</t>
  </si>
  <si>
    <t>ORD0011</t>
  </si>
  <si>
    <t>ORD0096</t>
  </si>
  <si>
    <t>ORD0036</t>
  </si>
  <si>
    <t>ORD0052</t>
  </si>
  <si>
    <t>ORD0042</t>
  </si>
  <si>
    <t>Customer 010</t>
  </si>
  <si>
    <t>ORD0076</t>
  </si>
  <si>
    <t>Customer 006</t>
  </si>
  <si>
    <t>ORD0074</t>
  </si>
  <si>
    <t>Customer 005</t>
  </si>
  <si>
    <t>ORD0008</t>
  </si>
  <si>
    <t>ORD0055</t>
  </si>
  <si>
    <t>Customer 017</t>
  </si>
  <si>
    <t>ORD0069</t>
  </si>
  <si>
    <t>Customer 021</t>
  </si>
  <si>
    <t>ORD0056</t>
  </si>
  <si>
    <t>ORD0046</t>
  </si>
  <si>
    <t>Customer 055</t>
  </si>
  <si>
    <t>ORD0082</t>
  </si>
  <si>
    <t>Customer 037</t>
  </si>
  <si>
    <t>ORD0075</t>
  </si>
  <si>
    <t>Customer 056</t>
  </si>
  <si>
    <t>ORD0073</t>
  </si>
  <si>
    <t>ORD0040</t>
  </si>
  <si>
    <t>Customer 014</t>
  </si>
  <si>
    <t>ORD0006</t>
  </si>
  <si>
    <t>ORD0066</t>
  </si>
  <si>
    <t>Customer 027</t>
  </si>
  <si>
    <t>ORD0028</t>
  </si>
  <si>
    <t>Customer 040</t>
  </si>
  <si>
    <t>ORD0100</t>
  </si>
  <si>
    <t>Customer 075</t>
  </si>
  <si>
    <t>ORD0016</t>
  </si>
  <si>
    <t>ORD0019</t>
  </si>
  <si>
    <t>Customer 047</t>
  </si>
  <si>
    <t>ORD0044</t>
  </si>
  <si>
    <t>Customer 063</t>
  </si>
  <si>
    <t>ORD0067</t>
  </si>
  <si>
    <t>Customer 080</t>
  </si>
  <si>
    <t>ORD0039</t>
  </si>
  <si>
    <t>ORD0068</t>
  </si>
  <si>
    <t>ORD0031</t>
  </si>
  <si>
    <t>Customer 028</t>
  </si>
  <si>
    <t>ORD0093</t>
  </si>
  <si>
    <t>ORD0065</t>
  </si>
  <si>
    <t>ORD0024</t>
  </si>
  <si>
    <t>ORD0032</t>
  </si>
  <si>
    <t>Customer 067</t>
  </si>
  <si>
    <t>ORD0005</t>
  </si>
  <si>
    <t>Customer 076</t>
  </si>
  <si>
    <t>ORD0041</t>
  </si>
  <si>
    <t>Customer 018</t>
  </si>
  <si>
    <t>ORD0094</t>
  </si>
  <si>
    <t>ORD0053</t>
  </si>
  <si>
    <t>Customer 041</t>
  </si>
  <si>
    <t>ORD0022</t>
  </si>
  <si>
    <t>Customer 068</t>
  </si>
  <si>
    <t>ORD0087</t>
  </si>
  <si>
    <t>Customer 079</t>
  </si>
  <si>
    <t>ORD0025</t>
  </si>
  <si>
    <t>Customer 023</t>
  </si>
  <si>
    <t>ORD0084</t>
  </si>
  <si>
    <t>ORD0027</t>
  </si>
  <si>
    <t>Customer 001</t>
  </si>
  <si>
    <t>ORD0099</t>
  </si>
  <si>
    <t>ORD0064</t>
  </si>
  <si>
    <t>ORD0080</t>
  </si>
  <si>
    <t>ORD0092</t>
  </si>
  <si>
    <t>Customer 077</t>
  </si>
  <si>
    <t>ORD0063</t>
  </si>
  <si>
    <t>Customer 002</t>
  </si>
  <si>
    <t>ORD0054</t>
  </si>
  <si>
    <t>ORD0050</t>
  </si>
  <si>
    <t>ORD0037</t>
  </si>
  <si>
    <t>Customer 074</t>
  </si>
  <si>
    <t>ORD0048</t>
  </si>
  <si>
    <t>Customer 062</t>
  </si>
  <si>
    <t>ORD0034</t>
  </si>
  <si>
    <t>Customer 029</t>
  </si>
  <si>
    <t>ORD0026</t>
  </si>
  <si>
    <t>ORD0057</t>
  </si>
  <si>
    <t>ORD0078</t>
  </si>
  <si>
    <t>ORD0095</t>
  </si>
  <si>
    <t>Customer 031</t>
  </si>
  <si>
    <t>ORD0061</t>
  </si>
  <si>
    <t>ORD0043</t>
  </si>
  <si>
    <t>Customer 070</t>
  </si>
  <si>
    <t>ORD0083</t>
  </si>
  <si>
    <t>ORD0089</t>
  </si>
  <si>
    <t>ORD0051</t>
  </si>
  <si>
    <t>ORD0085</t>
  </si>
  <si>
    <t>ORD0079</t>
  </si>
  <si>
    <t>Customer 053</t>
  </si>
  <si>
    <t>ORD0081</t>
  </si>
  <si>
    <t>ORD0002</t>
  </si>
  <si>
    <t>ORD0021</t>
  </si>
  <si>
    <t>ORD0023</t>
  </si>
  <si>
    <t>Customer 069</t>
  </si>
  <si>
    <t>ORD0077</t>
  </si>
  <si>
    <t>ORD0090</t>
  </si>
  <si>
    <t>ORD0013</t>
  </si>
  <si>
    <t>ORD0098</t>
  </si>
  <si>
    <t>Step</t>
  </si>
  <si>
    <t>Task</t>
  </si>
  <si>
    <t>1. Clean data</t>
  </si>
  <si>
    <t>Check duplicates, blanks, dates and numeric columns.</t>
  </si>
  <si>
    <t>2. Create KPI calculations</t>
  </si>
  <si>
    <t>Calculate Total Sales, Total Orders, Total Quantity and Average Order Value.</t>
  </si>
  <si>
    <t>3. Create PivotTables</t>
  </si>
  <si>
    <t>Analyze monthly sales, category sales, product sales and city sales.</t>
  </si>
  <si>
    <t>4. Create charts</t>
  </si>
  <si>
    <t>Create charts for the key analyses.</t>
  </si>
  <si>
    <t>5. Build dashboard</t>
  </si>
  <si>
    <t>Arrange KPI cards and charts on one Dashboard sheet.</t>
  </si>
  <si>
    <t>6. Write project summary</t>
  </si>
  <si>
    <t>Use the resume description provided in ChatGPT.</t>
  </si>
  <si>
    <t>Row Labels</t>
  </si>
  <si>
    <t>Grand Total</t>
  </si>
  <si>
    <t>Sum of Sales (₹)</t>
  </si>
  <si>
    <t>Month</t>
  </si>
  <si>
    <t>Jan</t>
  </si>
  <si>
    <t>Feb</t>
  </si>
  <si>
    <t>Mar</t>
  </si>
  <si>
    <t>Apr</t>
  </si>
  <si>
    <t>May</t>
  </si>
  <si>
    <t>Jun</t>
  </si>
  <si>
    <t>E-COMMERCE SALES ANALYSIS DASHBOARD</t>
  </si>
  <si>
    <r>
      <rPr>
        <sz val="12"/>
        <color theme="1"/>
        <rFont val="Calibri"/>
        <family val="2"/>
        <scheme val="minor"/>
      </rPr>
      <t>Average Order Value</t>
    </r>
    <r>
      <rPr>
        <sz val="11"/>
        <color theme="1"/>
        <rFont val="Calibri"/>
        <family val="2"/>
        <scheme val="minor"/>
      </rPr>
      <t>:</t>
    </r>
    <r>
      <rPr>
        <b/>
        <sz val="20"/>
        <color theme="1"/>
        <rFont val="Calibri"/>
        <family val="2"/>
        <scheme val="minor"/>
      </rPr>
      <t>₹2,818.93</t>
    </r>
  </si>
  <si>
    <r>
      <rPr>
        <sz val="12"/>
        <color theme="1"/>
        <rFont val="Calibri"/>
        <family val="2"/>
        <scheme val="minor"/>
      </rPr>
      <t>Qunatity Sold</t>
    </r>
    <r>
      <rPr>
        <sz val="11"/>
        <color theme="1"/>
        <rFont val="Calibri"/>
        <family val="2"/>
        <scheme val="minor"/>
      </rPr>
      <t>:</t>
    </r>
    <r>
      <rPr>
        <b/>
        <sz val="20"/>
        <color theme="1"/>
        <rFont val="Calibri"/>
        <family val="2"/>
        <scheme val="minor"/>
      </rPr>
      <t>307</t>
    </r>
  </si>
  <si>
    <r>
      <rPr>
        <sz val="12"/>
        <color theme="1"/>
        <rFont val="Calibri"/>
        <family val="2"/>
        <scheme val="minor"/>
      </rPr>
      <t>Total Sales:</t>
    </r>
    <r>
      <rPr>
        <b/>
        <sz val="20"/>
        <color theme="1"/>
        <rFont val="Calibri"/>
        <family val="2"/>
        <scheme val="minor"/>
      </rPr>
      <t>₹2,81,893</t>
    </r>
  </si>
  <si>
    <r>
      <rPr>
        <sz val="12"/>
        <color theme="1"/>
        <rFont val="Calibri"/>
        <family val="2"/>
        <scheme val="minor"/>
      </rPr>
      <t>Total Orders:</t>
    </r>
    <r>
      <rPr>
        <b/>
        <sz val="20"/>
        <color theme="1"/>
        <rFont val="Calibri"/>
        <family val="2"/>
        <scheme val="minor"/>
      </rPr>
      <t>100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</si>
</sst>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\₹#,##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20"/>
      <color theme="1"/>
      <name val="Calibri"/>
      <family val="2"/>
      <scheme val="minor"/>
    </font>
    <font>
      <b/>
      <sz val="24"/>
      <color theme="4" tint="-0.499984740745262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2" xfId="0" applyFont="1" applyFill="1" applyBorder="1" applyAlignment="1">
      <alignment horizontal="center" vertical="top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[Ecommerce_Sales_Analysis_Dataset_Dashboard.xlsx]Sheet1!PivotTable1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Category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tx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Sheet1!$A$4:$A$8</c:f>
              <c:strCache>
                <c:ptCount val="4"/>
                <c:pt idx="0">
                  <c:v>Electronics</c:v>
                </c:pt>
                <c:pt idx="1">
                  <c:v>Fashion</c:v>
                </c:pt>
                <c:pt idx="2">
                  <c:v>Home &amp; Kitchen</c:v>
                </c:pt>
                <c:pt idx="3">
                  <c:v>Stationery</c:v>
                </c:pt>
              </c:strCache>
            </c:strRef>
          </c:cat>
          <c:val>
            <c:numRef>
              <c:f>Sheet1!$B$4:$B$8</c:f>
              <c:numCache>
                <c:formatCode>\₹#,##0</c:formatCode>
                <c:ptCount val="4"/>
                <c:pt idx="0">
                  <c:v>103595</c:v>
                </c:pt>
                <c:pt idx="1">
                  <c:v>96832</c:v>
                </c:pt>
                <c:pt idx="2">
                  <c:v>56507</c:v>
                </c:pt>
                <c:pt idx="3">
                  <c:v>24959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41-48D6-BABC-B1D0C7FA685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83559455"/>
        <c:axId val="1549490223"/>
      </c:barChart>
      <c:catAx>
        <c:axId val="1483559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490223"/>
        <c:crosses val="autoZero"/>
        <c:auto val="1"/>
        <c:lblAlgn val="ctr"/>
        <c:lblOffset val="100"/>
        <c:noMultiLvlLbl val="0"/>
      </c:catAx>
      <c:valAx>
        <c:axId val="1549490223"/>
        <c:scaling>
          <c:orientation val="minMax"/>
        </c:scaling>
        <c:delete val="1"/>
        <c:axPos val="l"/>
        <c:numFmt formatCode="\₹#,##0" sourceLinked="1"/>
        <c:majorTickMark val="out"/>
        <c:minorTickMark val="none"/>
        <c:tickLblPos val="nextTo"/>
        <c:crossAx val="1483559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[Ecommerce_Sales_Analysis_Dataset_Dashboard.xlsx]Sheet2!PivotTable2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City</a:t>
            </a:r>
            <a:r>
              <a:rPr lang="en-IN" baseline="0"/>
              <a:t> Sales-Wise Analysis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tx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Sheet2!$A$4:$A$12</c:f>
              <c:strCache>
                <c:ptCount val="8"/>
                <c:pt idx="0">
                  <c:v>Bengaluru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Mumbai</c:v>
                </c:pt>
                <c:pt idx="5">
                  <c:v>Pune</c:v>
                </c:pt>
                <c:pt idx="6">
                  <c:v>Vijayawada</c:v>
                </c:pt>
                <c:pt idx="7">
                  <c:v>Visakhapatnam</c:v>
                </c:pt>
              </c:strCache>
            </c:strRef>
          </c:cat>
          <c:val>
            <c:numRef>
              <c:f>Sheet2!$B$4:$B$12</c:f>
              <c:numCache>
                <c:formatCode>\₹#,##0</c:formatCode>
                <c:ptCount val="8"/>
                <c:pt idx="0">
                  <c:v>43544</c:v>
                </c:pt>
                <c:pt idx="1">
                  <c:v>27968</c:v>
                </c:pt>
                <c:pt idx="2">
                  <c:v>27871</c:v>
                </c:pt>
                <c:pt idx="3">
                  <c:v>41166</c:v>
                </c:pt>
                <c:pt idx="4">
                  <c:v>32166</c:v>
                </c:pt>
                <c:pt idx="5">
                  <c:v>37257</c:v>
                </c:pt>
                <c:pt idx="6">
                  <c:v>21181</c:v>
                </c:pt>
                <c:pt idx="7">
                  <c:v>50740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F8-483B-A82A-88B2E0C3E11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62029359"/>
        <c:axId val="1549494063"/>
      </c:barChart>
      <c:catAx>
        <c:axId val="1762029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494063"/>
        <c:crosses val="autoZero"/>
        <c:auto val="1"/>
        <c:lblAlgn val="ctr"/>
        <c:lblOffset val="100"/>
        <c:noMultiLvlLbl val="0"/>
      </c:catAx>
      <c:valAx>
        <c:axId val="1549494063"/>
        <c:scaling>
          <c:orientation val="minMax"/>
        </c:scaling>
        <c:delete val="1"/>
        <c:axPos val="l"/>
        <c:numFmt formatCode="\₹#,##0" sourceLinked="1"/>
        <c:majorTickMark val="none"/>
        <c:minorTickMark val="none"/>
        <c:tickLblPos val="nextTo"/>
        <c:crossAx val="1762029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[Ecommerce_Sales_Analysis_Dataset_Dashboard.xlsx]Sheet3!PivotTable3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Payment</a:t>
            </a:r>
            <a:r>
              <a:rPr lang="en-IN" baseline="0"/>
              <a:t> Method-Wise Sales Analysis</a:t>
            </a:r>
          </a:p>
          <a:p>
            <a:pPr>
              <a:defRPr/>
            </a:pPr>
            <a:endParaRPr lang="en-IN"/>
          </a:p>
        </c:rich>
      </c:tx>
      <c:layout>
        <c:manualLayout>
          <c:xMode val="edge"/>
          <c:yMode val="edge"/>
          <c:x val="0.19919160104986874"/>
          <c:y val="4.82175396862169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tx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Sheet3!$A$4:$A$9</c:f>
              <c:strCache>
                <c:ptCount val="5"/>
                <c:pt idx="0">
                  <c:v>Cash on Delivery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Sheet3!$B$4:$B$9</c:f>
              <c:numCache>
                <c:formatCode>\₹#,##0</c:formatCode>
                <c:ptCount val="5"/>
                <c:pt idx="0">
                  <c:v>57731</c:v>
                </c:pt>
                <c:pt idx="1">
                  <c:v>55833</c:v>
                </c:pt>
                <c:pt idx="2">
                  <c:v>59046</c:v>
                </c:pt>
                <c:pt idx="3">
                  <c:v>61037</c:v>
                </c:pt>
                <c:pt idx="4">
                  <c:v>48246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F8-444C-BED0-46127DF1EF0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63009151"/>
        <c:axId val="1549483983"/>
      </c:barChart>
      <c:catAx>
        <c:axId val="1763009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483983"/>
        <c:crosses val="autoZero"/>
        <c:auto val="1"/>
        <c:lblAlgn val="ctr"/>
        <c:lblOffset val="100"/>
        <c:noMultiLvlLbl val="0"/>
      </c:catAx>
      <c:valAx>
        <c:axId val="1549483983"/>
        <c:scaling>
          <c:orientation val="minMax"/>
        </c:scaling>
        <c:delete val="1"/>
        <c:axPos val="l"/>
        <c:numFmt formatCode="\₹#,##0" sourceLinked="1"/>
        <c:majorTickMark val="none"/>
        <c:minorTickMark val="none"/>
        <c:tickLblPos val="nextTo"/>
        <c:crossAx val="1763009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[Ecommerce_Sales_Analysis_Dataset_Dashboard.xlsx]Sheet4!PivotTable4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Sales Trend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Sheet4!$A$4:$A$10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Sheet4!$B$4:$B$10</c:f>
              <c:numCache>
                <c:formatCode>\₹#,##0</c:formatCode>
                <c:ptCount val="6"/>
                <c:pt idx="0">
                  <c:v>26674</c:v>
                </c:pt>
                <c:pt idx="1">
                  <c:v>58438</c:v>
                </c:pt>
                <c:pt idx="2">
                  <c:v>43141</c:v>
                </c:pt>
                <c:pt idx="3">
                  <c:v>59836</c:v>
                </c:pt>
                <c:pt idx="4">
                  <c:v>36760</c:v>
                </c:pt>
                <c:pt idx="5">
                  <c:v>57044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C2-4BF7-92A7-17DF1D6C9E3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75636447"/>
        <c:axId val="1549482543"/>
      </c:lineChart>
      <c:catAx>
        <c:axId val="1675636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482543"/>
        <c:crosses val="autoZero"/>
        <c:auto val="1"/>
        <c:lblAlgn val="ctr"/>
        <c:lblOffset val="100"/>
        <c:noMultiLvlLbl val="0"/>
      </c:catAx>
      <c:valAx>
        <c:axId val="1549482543"/>
        <c:scaling>
          <c:orientation val="minMax"/>
        </c:scaling>
        <c:delete val="1"/>
        <c:axPos val="l"/>
        <c:numFmt formatCode="\₹#,##0" sourceLinked="1"/>
        <c:majorTickMark val="none"/>
        <c:minorTickMark val="none"/>
        <c:tickLblPos val="nextTo"/>
        <c:crossAx val="1675636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137160</xdr:colOff>
      <xdr:row>7</xdr:row>
      <xdr:rowOff>0</xdr:rowOff>
    </xdr:from>
    <xdr:to>
      <xdr:col>7</xdr:col>
      <xdr:colOff>208442</xdr:colOff>
      <xdr:row>22</xdr:row>
      <xdr:rowOff>36132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CC88B9-5164-4AB9-8138-15C3042915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121921</xdr:colOff>
      <xdr:row>7</xdr:row>
      <xdr:rowOff>15240</xdr:rowOff>
    </xdr:from>
    <xdr:to>
      <xdr:col>15</xdr:col>
      <xdr:colOff>525780</xdr:colOff>
      <xdr:row>22</xdr:row>
      <xdr:rowOff>45720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96CB15-36A9-43CB-BFA3-BD21C7FF22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106681</xdr:colOff>
      <xdr:row>23</xdr:row>
      <xdr:rowOff>22860</xdr:rowOff>
    </xdr:from>
    <xdr:to>
      <xdr:col>7</xdr:col>
      <xdr:colOff>220981</xdr:colOff>
      <xdr:row>39</xdr:row>
      <xdr:rowOff>137160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4538925-2C23-4283-AF0A-93F746212A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129540</xdr:colOff>
      <xdr:row>23</xdr:row>
      <xdr:rowOff>45721</xdr:rowOff>
    </xdr:from>
    <xdr:to>
      <xdr:col>15</xdr:col>
      <xdr:colOff>541020</xdr:colOff>
      <xdr:row>39</xdr:row>
      <xdr:rowOff>144781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C97169A-7F8E-47C8-B95C-1168A66996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ndhu" refreshedDate="46289.764443865737" createdVersion="8" refreshedVersion="8" minRefreshableVersion="3" recordCount="100" xr:uid="{F55A6ED7-B377-4229-AD77-AD825E021DCD}">
  <cacheSource type="worksheet">
    <worksheetSource ref="A1:J101" sheet="Sales Data"/>
  </cacheSource>
  <cacheFields count="10">
    <cacheField name="Order ID" numFmtId="0">
      <sharedItems/>
    </cacheField>
    <cacheField name="Order Date" numFmtId="164">
      <sharedItems containsSemiMixedTypes="0" containsNonDate="0" containsDate="1" containsString="0" minDate="2026-01-07T00:00:00" maxDate="2026-07-01T00:00:00"/>
    </cacheField>
    <cacheField name="Customer" numFmtId="0">
      <sharedItems/>
    </cacheField>
    <cacheField name="City" numFmtId="0">
      <sharedItems count="8">
        <s v="Mumbai"/>
        <s v="Hyderabad"/>
        <s v="Pune"/>
        <s v="Visakhapatnam"/>
        <s v="Delhi"/>
        <s v="Bengaluru"/>
        <s v="Chennai"/>
        <s v="Vijayawada"/>
      </sharedItems>
    </cacheField>
    <cacheField name="Product" numFmtId="0">
      <sharedItems/>
    </cacheField>
    <cacheField name="Category" numFmtId="0">
      <sharedItems count="4">
        <s v="Fashion"/>
        <s v="Home &amp; Kitchen"/>
        <s v="Electronics"/>
        <s v="Stationery"/>
      </sharedItems>
    </cacheField>
    <cacheField name="Quantity" numFmtId="0">
      <sharedItems containsSemiMixedTypes="0" containsString="0" containsNumber="1" containsInteger="1" minValue="1" maxValue="5"/>
    </cacheField>
    <cacheField name="Unit Price (₹)" numFmtId="165">
      <sharedItems containsSemiMixedTypes="0" containsString="0" containsNumber="1" containsInteger="1" minValue="199" maxValue="1999"/>
    </cacheField>
    <cacheField name="Sales (₹)" numFmtId="165">
      <sharedItems containsSemiMixedTypes="0" containsString="0" containsNumber="1" containsInteger="1" minValue="199" maxValue="9995"/>
    </cacheField>
    <cacheField name="Payment Method" numFmtId="0">
      <sharedItems count="5">
        <s v="Credit Card"/>
        <s v="Net Banking"/>
        <s v="UPI"/>
        <s v="Debit Card"/>
        <s v="Cash on Delivery"/>
      </sharedItems>
    </cacheField>
  </cacheFields>
  <extLst>
    <ext xmlns:x14="http://schemas.microsoft.com/office/spreadsheetml/2009/9/main" uri="{725AE2AE-9491-48be-B2B4-4EB974FC3084}">
      <x14:pivotCacheDefinition pivotCacheId="522260866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ndhu" refreshedDate="46289.768260879631" createdVersion="8" refreshedVersion="8" minRefreshableVersion="3" recordCount="100" xr:uid="{E0D0253A-6CC3-45C2-8487-52475382E1D4}">
  <cacheSource type="worksheet">
    <worksheetSource ref="A1:K101" sheet="Sales Data"/>
  </cacheSource>
  <cacheFields count="11">
    <cacheField name="Order ID" numFmtId="0">
      <sharedItems/>
    </cacheField>
    <cacheField name="Order Date" numFmtId="164">
      <sharedItems containsSemiMixedTypes="0" containsNonDate="0" containsDate="1" containsString="0" minDate="2026-01-07T00:00:00" maxDate="2026-07-01T00:00:00"/>
    </cacheField>
    <cacheField name="Customer" numFmtId="0">
      <sharedItems/>
    </cacheField>
    <cacheField name="City" numFmtId="0">
      <sharedItems/>
    </cacheField>
    <cacheField name="Product" numFmtId="0">
      <sharedItems/>
    </cacheField>
    <cacheField name="Category" numFmtId="0">
      <sharedItems/>
    </cacheField>
    <cacheField name="Quantity" numFmtId="0">
      <sharedItems containsSemiMixedTypes="0" containsString="0" containsNumber="1" containsInteger="1" minValue="1" maxValue="5"/>
    </cacheField>
    <cacheField name="Unit Price (₹)" numFmtId="165">
      <sharedItems containsSemiMixedTypes="0" containsString="0" containsNumber="1" containsInteger="1" minValue="199" maxValue="1999"/>
    </cacheField>
    <cacheField name="Sales (₹)" numFmtId="165">
      <sharedItems containsSemiMixedTypes="0" containsString="0" containsNumber="1" containsInteger="1" minValue="199" maxValue="9995"/>
    </cacheField>
    <cacheField name="Payment Method" numFmtId="0">
      <sharedItems/>
    </cacheField>
    <cacheField name="Month" numFmtId="0">
      <sharedItems count="6">
        <s v="Jan"/>
        <s v="Feb"/>
        <s v="Mar"/>
        <s v="Apr"/>
        <s v="May"/>
        <s v="Ju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ORD0001"/>
    <d v="2026-01-07T00:00:00"/>
    <s v="Customer 036"/>
    <x v="0"/>
    <s v="Jeans"/>
    <x v="0"/>
    <n v="1"/>
    <n v="1299"/>
    <n v="1299"/>
    <x v="0"/>
  </r>
  <r>
    <s v="ORD0004"/>
    <d v="2026-01-07T00:00:00"/>
    <s v="Customer 072"/>
    <x v="0"/>
    <s v="Desk Lamp"/>
    <x v="1"/>
    <n v="5"/>
    <n v="799"/>
    <n v="3995"/>
    <x v="1"/>
  </r>
  <r>
    <s v="ORD0003"/>
    <d v="2026-01-08T00:00:00"/>
    <s v="Customer 012"/>
    <x v="0"/>
    <s v="Water Bottle"/>
    <x v="1"/>
    <n v="1"/>
    <n v="499"/>
    <n v="499"/>
    <x v="0"/>
  </r>
  <r>
    <s v="ORD0033"/>
    <d v="2026-01-17T00:00:00"/>
    <s v="Customer 044"/>
    <x v="1"/>
    <s v="Bluetooth Speaker"/>
    <x v="2"/>
    <n v="2"/>
    <n v="1499"/>
    <n v="2998"/>
    <x v="1"/>
  </r>
  <r>
    <s v="ORD0072"/>
    <d v="2026-01-18T00:00:00"/>
    <s v="Customer 036"/>
    <x v="2"/>
    <s v="Backpack"/>
    <x v="3"/>
    <n v="3"/>
    <n v="899"/>
    <n v="2697"/>
    <x v="1"/>
  </r>
  <r>
    <s v="ORD0029"/>
    <d v="2026-01-21T00:00:00"/>
    <s v="Customer 011"/>
    <x v="3"/>
    <s v="Bluetooth Speaker"/>
    <x v="2"/>
    <n v="5"/>
    <n v="1499"/>
    <n v="7495"/>
    <x v="2"/>
  </r>
  <r>
    <s v="ORD0009"/>
    <d v="2026-01-21T00:00:00"/>
    <s v="Customer 071"/>
    <x v="4"/>
    <s v="Keyboard"/>
    <x v="2"/>
    <n v="4"/>
    <n v="899"/>
    <n v="3596"/>
    <x v="1"/>
  </r>
  <r>
    <s v="ORD0007"/>
    <d v="2026-01-24T00:00:00"/>
    <s v="Customer 049"/>
    <x v="5"/>
    <s v="Backpack"/>
    <x v="3"/>
    <n v="1"/>
    <n v="899"/>
    <n v="899"/>
    <x v="3"/>
  </r>
  <r>
    <s v="ORD0020"/>
    <d v="2026-01-24T00:00:00"/>
    <s v="Customer 007"/>
    <x v="5"/>
    <s v="Desk Lamp"/>
    <x v="1"/>
    <n v="4"/>
    <n v="799"/>
    <n v="3196"/>
    <x v="0"/>
  </r>
  <r>
    <s v="ORD0091"/>
    <d v="2026-02-01T00:00:00"/>
    <s v="Customer 059"/>
    <x v="6"/>
    <s v="Desk Lamp"/>
    <x v="1"/>
    <n v="2"/>
    <n v="799"/>
    <n v="1598"/>
    <x v="4"/>
  </r>
  <r>
    <s v="ORD0030"/>
    <d v="2026-02-02T00:00:00"/>
    <s v="Customer 061"/>
    <x v="6"/>
    <s v="Desk Lamp"/>
    <x v="1"/>
    <n v="2"/>
    <n v="799"/>
    <n v="1598"/>
    <x v="3"/>
  </r>
  <r>
    <s v="ORD0062"/>
    <d v="2026-02-03T00:00:00"/>
    <s v="Customer 034"/>
    <x v="6"/>
    <s v="Wireless Mouse"/>
    <x v="2"/>
    <n v="3"/>
    <n v="599"/>
    <n v="1797"/>
    <x v="4"/>
  </r>
  <r>
    <s v="ORD0058"/>
    <d v="2026-02-04T00:00:00"/>
    <s v="Customer 034"/>
    <x v="5"/>
    <s v="Notebook"/>
    <x v="3"/>
    <n v="1"/>
    <n v="199"/>
    <n v="199"/>
    <x v="2"/>
  </r>
  <r>
    <s v="ORD0097"/>
    <d v="2026-02-05T00:00:00"/>
    <s v="Customer 020"/>
    <x v="0"/>
    <s v="Desk Lamp"/>
    <x v="1"/>
    <n v="1"/>
    <n v="799"/>
    <n v="799"/>
    <x v="4"/>
  </r>
  <r>
    <s v="ORD0018"/>
    <d v="2026-02-05T00:00:00"/>
    <s v="Customer 032"/>
    <x v="4"/>
    <s v="USB-C Cable"/>
    <x v="2"/>
    <n v="3"/>
    <n v="399"/>
    <n v="1197"/>
    <x v="1"/>
  </r>
  <r>
    <s v="ORD0059"/>
    <d v="2026-02-09T00:00:00"/>
    <s v="Customer 035"/>
    <x v="4"/>
    <s v="Running Shoes"/>
    <x v="0"/>
    <n v="5"/>
    <n v="1999"/>
    <n v="9995"/>
    <x v="1"/>
  </r>
  <r>
    <s v="ORD0012"/>
    <d v="2026-02-11T00:00:00"/>
    <s v="Customer 048"/>
    <x v="2"/>
    <s v="Coffee Mug"/>
    <x v="1"/>
    <n v="3"/>
    <n v="299"/>
    <n v="897"/>
    <x v="0"/>
  </r>
  <r>
    <s v="ORD0014"/>
    <d v="2026-02-11T00:00:00"/>
    <s v="Customer 060"/>
    <x v="7"/>
    <s v="Running Shoes"/>
    <x v="0"/>
    <n v="2"/>
    <n v="1999"/>
    <n v="3998"/>
    <x v="3"/>
  </r>
  <r>
    <s v="ORD0045"/>
    <d v="2026-02-12T00:00:00"/>
    <s v="Customer 049"/>
    <x v="1"/>
    <s v="Water Bottle"/>
    <x v="1"/>
    <n v="1"/>
    <n v="499"/>
    <n v="499"/>
    <x v="4"/>
  </r>
  <r>
    <s v="ORD0049"/>
    <d v="2026-02-17T00:00:00"/>
    <s v="Customer 009"/>
    <x v="5"/>
    <s v="Desk Lamp"/>
    <x v="1"/>
    <n v="1"/>
    <n v="799"/>
    <n v="799"/>
    <x v="0"/>
  </r>
  <r>
    <s v="ORD0038"/>
    <d v="2026-02-18T00:00:00"/>
    <s v="Customer 013"/>
    <x v="5"/>
    <s v="Coffee Mug"/>
    <x v="1"/>
    <n v="4"/>
    <n v="299"/>
    <n v="1196"/>
    <x v="4"/>
  </r>
  <r>
    <s v="ORD0010"/>
    <d v="2026-02-19T00:00:00"/>
    <s v="Customer 009"/>
    <x v="1"/>
    <s v="Backpack"/>
    <x v="3"/>
    <n v="5"/>
    <n v="899"/>
    <n v="4495"/>
    <x v="0"/>
  </r>
  <r>
    <s v="ORD0088"/>
    <d v="2026-02-19T00:00:00"/>
    <s v="Customer 050"/>
    <x v="3"/>
    <s v="Water Bottle"/>
    <x v="1"/>
    <n v="5"/>
    <n v="499"/>
    <n v="2495"/>
    <x v="4"/>
  </r>
  <r>
    <s v="ORD0060"/>
    <d v="2026-02-22T00:00:00"/>
    <s v="Customer 034"/>
    <x v="3"/>
    <s v="Bluetooth Speaker"/>
    <x v="2"/>
    <n v="3"/>
    <n v="1499"/>
    <n v="4497"/>
    <x v="3"/>
  </r>
  <r>
    <s v="ORD0017"/>
    <d v="2026-02-24T00:00:00"/>
    <s v="Customer 064"/>
    <x v="7"/>
    <s v="T-Shirt"/>
    <x v="0"/>
    <n v="3"/>
    <n v="699"/>
    <n v="2097"/>
    <x v="4"/>
  </r>
  <r>
    <s v="ORD0047"/>
    <d v="2026-02-25T00:00:00"/>
    <s v="Customer 008"/>
    <x v="1"/>
    <s v="Bluetooth Speaker"/>
    <x v="2"/>
    <n v="3"/>
    <n v="1499"/>
    <n v="4497"/>
    <x v="3"/>
  </r>
  <r>
    <s v="ORD0015"/>
    <d v="2026-02-26T00:00:00"/>
    <s v="Customer 042"/>
    <x v="1"/>
    <s v="Jeans"/>
    <x v="0"/>
    <n v="5"/>
    <n v="1299"/>
    <n v="6495"/>
    <x v="0"/>
  </r>
  <r>
    <s v="ORD0070"/>
    <d v="2026-02-26T00:00:00"/>
    <s v="Customer 026"/>
    <x v="3"/>
    <s v="Wireless Mouse"/>
    <x v="2"/>
    <n v="4"/>
    <n v="599"/>
    <n v="2396"/>
    <x v="3"/>
  </r>
  <r>
    <s v="ORD0071"/>
    <d v="2026-02-27T00:00:00"/>
    <s v="Customer 004"/>
    <x v="0"/>
    <s v="Notebook"/>
    <x v="3"/>
    <n v="2"/>
    <n v="199"/>
    <n v="398"/>
    <x v="4"/>
  </r>
  <r>
    <s v="ORD0086"/>
    <d v="2026-02-27T00:00:00"/>
    <s v="Customer 026"/>
    <x v="6"/>
    <s v="Bluetooth Speaker"/>
    <x v="2"/>
    <n v="3"/>
    <n v="1499"/>
    <n v="4497"/>
    <x v="2"/>
  </r>
  <r>
    <s v="ORD0035"/>
    <d v="2026-02-28T00:00:00"/>
    <s v="Customer 009"/>
    <x v="1"/>
    <s v="Running Shoes"/>
    <x v="0"/>
    <n v="1"/>
    <n v="1999"/>
    <n v="1999"/>
    <x v="3"/>
  </r>
  <r>
    <s v="ORD0011"/>
    <d v="2026-03-01T00:00:00"/>
    <s v="Customer 013"/>
    <x v="7"/>
    <s v="Notebook"/>
    <x v="3"/>
    <n v="1"/>
    <n v="199"/>
    <n v="199"/>
    <x v="3"/>
  </r>
  <r>
    <s v="ORD0096"/>
    <d v="2026-03-02T00:00:00"/>
    <s v="Customer 035"/>
    <x v="2"/>
    <s v="Keyboard"/>
    <x v="2"/>
    <n v="3"/>
    <n v="899"/>
    <n v="2697"/>
    <x v="3"/>
  </r>
  <r>
    <s v="ORD0036"/>
    <d v="2026-03-02T00:00:00"/>
    <s v="Customer 036"/>
    <x v="3"/>
    <s v="Keyboard"/>
    <x v="2"/>
    <n v="5"/>
    <n v="899"/>
    <n v="4495"/>
    <x v="0"/>
  </r>
  <r>
    <s v="ORD0052"/>
    <d v="2026-03-03T00:00:00"/>
    <s v="Customer 034"/>
    <x v="7"/>
    <s v="Bluetooth Speaker"/>
    <x v="2"/>
    <n v="3"/>
    <n v="1499"/>
    <n v="4497"/>
    <x v="0"/>
  </r>
  <r>
    <s v="ORD0042"/>
    <d v="2026-03-05T00:00:00"/>
    <s v="Customer 010"/>
    <x v="3"/>
    <s v="Notebook"/>
    <x v="3"/>
    <n v="4"/>
    <n v="199"/>
    <n v="796"/>
    <x v="1"/>
  </r>
  <r>
    <s v="ORD0076"/>
    <d v="2026-03-07T00:00:00"/>
    <s v="Customer 006"/>
    <x v="7"/>
    <s v="T-Shirt"/>
    <x v="0"/>
    <n v="2"/>
    <n v="699"/>
    <n v="1398"/>
    <x v="2"/>
  </r>
  <r>
    <s v="ORD0074"/>
    <d v="2026-03-09T00:00:00"/>
    <s v="Customer 005"/>
    <x v="5"/>
    <s v="USB-C Cable"/>
    <x v="2"/>
    <n v="5"/>
    <n v="399"/>
    <n v="1995"/>
    <x v="1"/>
  </r>
  <r>
    <s v="ORD0008"/>
    <d v="2026-03-09T00:00:00"/>
    <s v="Customer 006"/>
    <x v="3"/>
    <s v="Backpack"/>
    <x v="3"/>
    <n v="5"/>
    <n v="899"/>
    <n v="4495"/>
    <x v="1"/>
  </r>
  <r>
    <s v="ORD0055"/>
    <d v="2026-03-09T00:00:00"/>
    <s v="Customer 017"/>
    <x v="2"/>
    <s v="Bluetooth Speaker"/>
    <x v="2"/>
    <n v="5"/>
    <n v="1499"/>
    <n v="7495"/>
    <x v="2"/>
  </r>
  <r>
    <s v="ORD0069"/>
    <d v="2026-03-10T00:00:00"/>
    <s v="Customer 021"/>
    <x v="5"/>
    <s v="Water Bottle"/>
    <x v="1"/>
    <n v="2"/>
    <n v="499"/>
    <n v="998"/>
    <x v="4"/>
  </r>
  <r>
    <s v="ORD0056"/>
    <d v="2026-03-14T00:00:00"/>
    <s v="Customer 021"/>
    <x v="3"/>
    <s v="Bluetooth Speaker"/>
    <x v="2"/>
    <n v="3"/>
    <n v="1499"/>
    <n v="4497"/>
    <x v="1"/>
  </r>
  <r>
    <s v="ORD0046"/>
    <d v="2026-03-15T00:00:00"/>
    <s v="Customer 055"/>
    <x v="3"/>
    <s v="Notebook"/>
    <x v="3"/>
    <n v="4"/>
    <n v="199"/>
    <n v="796"/>
    <x v="0"/>
  </r>
  <r>
    <s v="ORD0082"/>
    <d v="2026-03-19T00:00:00"/>
    <s v="Customer 037"/>
    <x v="0"/>
    <s v="Desk Lamp"/>
    <x v="1"/>
    <n v="1"/>
    <n v="799"/>
    <n v="799"/>
    <x v="4"/>
  </r>
  <r>
    <s v="ORD0075"/>
    <d v="2026-03-22T00:00:00"/>
    <s v="Customer 056"/>
    <x v="5"/>
    <s v="Water Bottle"/>
    <x v="1"/>
    <n v="3"/>
    <n v="499"/>
    <n v="1497"/>
    <x v="4"/>
  </r>
  <r>
    <s v="ORD0073"/>
    <d v="2026-03-26T00:00:00"/>
    <s v="Customer 004"/>
    <x v="5"/>
    <s v="Water Bottle"/>
    <x v="1"/>
    <n v="5"/>
    <n v="499"/>
    <n v="2495"/>
    <x v="3"/>
  </r>
  <r>
    <s v="ORD0040"/>
    <d v="2026-03-28T00:00:00"/>
    <s v="Customer 014"/>
    <x v="0"/>
    <s v="Wireless Mouse"/>
    <x v="2"/>
    <n v="4"/>
    <n v="599"/>
    <n v="2396"/>
    <x v="0"/>
  </r>
  <r>
    <s v="ORD0006"/>
    <d v="2026-03-29T00:00:00"/>
    <s v="Customer 036"/>
    <x v="6"/>
    <s v="USB-C Cable"/>
    <x v="2"/>
    <n v="4"/>
    <n v="399"/>
    <n v="1596"/>
    <x v="0"/>
  </r>
  <r>
    <s v="ORD0066"/>
    <d v="2026-04-02T00:00:00"/>
    <s v="Customer 027"/>
    <x v="0"/>
    <s v="Backpack"/>
    <x v="3"/>
    <n v="1"/>
    <n v="899"/>
    <n v="899"/>
    <x v="2"/>
  </r>
  <r>
    <s v="ORD0028"/>
    <d v="2026-04-03T00:00:00"/>
    <s v="Customer 040"/>
    <x v="0"/>
    <s v="Wireless Mouse"/>
    <x v="2"/>
    <n v="1"/>
    <n v="599"/>
    <n v="599"/>
    <x v="2"/>
  </r>
  <r>
    <s v="ORD0100"/>
    <d v="2026-04-10T00:00:00"/>
    <s v="Customer 075"/>
    <x v="1"/>
    <s v="Bluetooth Speaker"/>
    <x v="2"/>
    <n v="4"/>
    <n v="1499"/>
    <n v="5996"/>
    <x v="1"/>
  </r>
  <r>
    <s v="ORD0016"/>
    <d v="2026-04-13T00:00:00"/>
    <s v="Customer 035"/>
    <x v="5"/>
    <s v="Wireless Mouse"/>
    <x v="2"/>
    <n v="3"/>
    <n v="599"/>
    <n v="1797"/>
    <x v="0"/>
  </r>
  <r>
    <s v="ORD0019"/>
    <d v="2026-04-13T00:00:00"/>
    <s v="Customer 047"/>
    <x v="0"/>
    <s v="Water Bottle"/>
    <x v="1"/>
    <n v="5"/>
    <n v="499"/>
    <n v="2495"/>
    <x v="0"/>
  </r>
  <r>
    <s v="ORD0044"/>
    <d v="2026-04-15T00:00:00"/>
    <s v="Customer 063"/>
    <x v="3"/>
    <s v="Bluetooth Speaker"/>
    <x v="2"/>
    <n v="2"/>
    <n v="1499"/>
    <n v="2998"/>
    <x v="0"/>
  </r>
  <r>
    <s v="ORD0067"/>
    <d v="2026-04-15T00:00:00"/>
    <s v="Customer 080"/>
    <x v="6"/>
    <s v="Backpack"/>
    <x v="3"/>
    <n v="5"/>
    <n v="899"/>
    <n v="4495"/>
    <x v="0"/>
  </r>
  <r>
    <s v="ORD0039"/>
    <d v="2026-04-16T00:00:00"/>
    <s v="Customer 060"/>
    <x v="1"/>
    <s v="Backpack"/>
    <x v="3"/>
    <n v="4"/>
    <n v="899"/>
    <n v="3596"/>
    <x v="2"/>
  </r>
  <r>
    <s v="ORD0068"/>
    <d v="2026-04-16T00:00:00"/>
    <s v="Customer 004"/>
    <x v="6"/>
    <s v="USB-C Cable"/>
    <x v="2"/>
    <n v="2"/>
    <n v="399"/>
    <n v="798"/>
    <x v="3"/>
  </r>
  <r>
    <s v="ORD0031"/>
    <d v="2026-04-19T00:00:00"/>
    <s v="Customer 028"/>
    <x v="0"/>
    <s v="Desk Lamp"/>
    <x v="1"/>
    <n v="5"/>
    <n v="799"/>
    <n v="3995"/>
    <x v="3"/>
  </r>
  <r>
    <s v="ORD0093"/>
    <d v="2026-04-20T00:00:00"/>
    <s v="Customer 071"/>
    <x v="3"/>
    <s v="T-Shirt"/>
    <x v="0"/>
    <n v="5"/>
    <n v="699"/>
    <n v="3495"/>
    <x v="0"/>
  </r>
  <r>
    <s v="ORD0065"/>
    <d v="2026-04-21T00:00:00"/>
    <s v="Customer 017"/>
    <x v="1"/>
    <s v="Desk Lamp"/>
    <x v="1"/>
    <n v="2"/>
    <n v="799"/>
    <n v="1598"/>
    <x v="3"/>
  </r>
  <r>
    <s v="ORD0024"/>
    <d v="2026-04-22T00:00:00"/>
    <s v="Customer 021"/>
    <x v="3"/>
    <s v="Keyboard"/>
    <x v="2"/>
    <n v="3"/>
    <n v="899"/>
    <n v="2697"/>
    <x v="2"/>
  </r>
  <r>
    <s v="ORD0032"/>
    <d v="2026-04-23T00:00:00"/>
    <s v="Customer 067"/>
    <x v="3"/>
    <s v="Water Bottle"/>
    <x v="1"/>
    <n v="3"/>
    <n v="499"/>
    <n v="1497"/>
    <x v="2"/>
  </r>
  <r>
    <s v="ORD0005"/>
    <d v="2026-04-25T00:00:00"/>
    <s v="Customer 076"/>
    <x v="4"/>
    <s v="Water Bottle"/>
    <x v="1"/>
    <n v="2"/>
    <n v="499"/>
    <n v="998"/>
    <x v="2"/>
  </r>
  <r>
    <s v="ORD0041"/>
    <d v="2026-04-25T00:00:00"/>
    <s v="Customer 018"/>
    <x v="7"/>
    <s v="Bluetooth Speaker"/>
    <x v="2"/>
    <n v="5"/>
    <n v="1499"/>
    <n v="7495"/>
    <x v="0"/>
  </r>
  <r>
    <s v="ORD0094"/>
    <d v="2026-04-26T00:00:00"/>
    <s v="Customer 034"/>
    <x v="0"/>
    <s v="Running Shoes"/>
    <x v="0"/>
    <n v="4"/>
    <n v="1999"/>
    <n v="7996"/>
    <x v="3"/>
  </r>
  <r>
    <s v="ORD0053"/>
    <d v="2026-04-28T00:00:00"/>
    <s v="Customer 041"/>
    <x v="5"/>
    <s v="Jeans"/>
    <x v="0"/>
    <n v="3"/>
    <n v="1299"/>
    <n v="3897"/>
    <x v="2"/>
  </r>
  <r>
    <s v="ORD0022"/>
    <d v="2026-04-30T00:00:00"/>
    <s v="Customer 068"/>
    <x v="4"/>
    <s v="Water Bottle"/>
    <x v="1"/>
    <n v="5"/>
    <n v="499"/>
    <n v="2495"/>
    <x v="1"/>
  </r>
  <r>
    <s v="ORD0087"/>
    <d v="2026-05-02T00:00:00"/>
    <s v="Customer 079"/>
    <x v="5"/>
    <s v="Wireless Mouse"/>
    <x v="2"/>
    <n v="2"/>
    <n v="599"/>
    <n v="1198"/>
    <x v="4"/>
  </r>
  <r>
    <s v="ORD0025"/>
    <d v="2026-05-09T00:00:00"/>
    <s v="Customer 023"/>
    <x v="5"/>
    <s v="Running Shoes"/>
    <x v="0"/>
    <n v="3"/>
    <n v="1999"/>
    <n v="5997"/>
    <x v="3"/>
  </r>
  <r>
    <s v="ORD0084"/>
    <d v="2026-05-11T00:00:00"/>
    <s v="Customer 061"/>
    <x v="6"/>
    <s v="Coffee Mug"/>
    <x v="1"/>
    <n v="2"/>
    <n v="299"/>
    <n v="598"/>
    <x v="2"/>
  </r>
  <r>
    <s v="ORD0027"/>
    <d v="2026-05-16T00:00:00"/>
    <s v="Customer 001"/>
    <x v="2"/>
    <s v="USB-C Cable"/>
    <x v="2"/>
    <n v="5"/>
    <n v="399"/>
    <n v="1995"/>
    <x v="4"/>
  </r>
  <r>
    <s v="ORD0099"/>
    <d v="2026-05-19T00:00:00"/>
    <s v="Customer 060"/>
    <x v="7"/>
    <s v="Water Bottle"/>
    <x v="1"/>
    <n v="3"/>
    <n v="499"/>
    <n v="1497"/>
    <x v="2"/>
  </r>
  <r>
    <s v="ORD0064"/>
    <d v="2026-05-20T00:00:00"/>
    <s v="Customer 005"/>
    <x v="2"/>
    <s v="Running Shoes"/>
    <x v="0"/>
    <n v="2"/>
    <n v="1999"/>
    <n v="3998"/>
    <x v="1"/>
  </r>
  <r>
    <s v="ORD0080"/>
    <d v="2026-05-22T00:00:00"/>
    <s v="Customer 017"/>
    <x v="0"/>
    <s v="Running Shoes"/>
    <x v="0"/>
    <n v="3"/>
    <n v="1999"/>
    <n v="5997"/>
    <x v="4"/>
  </r>
  <r>
    <s v="ORD0092"/>
    <d v="2026-05-24T00:00:00"/>
    <s v="Customer 077"/>
    <x v="2"/>
    <s v="Jeans"/>
    <x v="0"/>
    <n v="5"/>
    <n v="1299"/>
    <n v="6495"/>
    <x v="4"/>
  </r>
  <r>
    <s v="ORD0063"/>
    <d v="2026-05-24T00:00:00"/>
    <s v="Customer 002"/>
    <x v="5"/>
    <s v="Desk Lamp"/>
    <x v="1"/>
    <n v="4"/>
    <n v="799"/>
    <n v="3196"/>
    <x v="2"/>
  </r>
  <r>
    <s v="ORD0054"/>
    <d v="2026-05-25T00:00:00"/>
    <s v="Customer 013"/>
    <x v="5"/>
    <s v="Coffee Mug"/>
    <x v="1"/>
    <n v="5"/>
    <n v="299"/>
    <n v="1495"/>
    <x v="1"/>
  </r>
  <r>
    <s v="ORD0050"/>
    <d v="2026-05-26T00:00:00"/>
    <s v="Customer 032"/>
    <x v="1"/>
    <s v="Water Bottle"/>
    <x v="1"/>
    <n v="1"/>
    <n v="499"/>
    <n v="499"/>
    <x v="1"/>
  </r>
  <r>
    <s v="ORD0037"/>
    <d v="2026-05-27T00:00:00"/>
    <s v="Customer 074"/>
    <x v="3"/>
    <s v="Desk Lamp"/>
    <x v="1"/>
    <n v="2"/>
    <n v="799"/>
    <n v="1598"/>
    <x v="0"/>
  </r>
  <r>
    <s v="ORD0048"/>
    <d v="2026-05-30T00:00:00"/>
    <s v="Customer 062"/>
    <x v="6"/>
    <s v="Wireless Mouse"/>
    <x v="2"/>
    <n v="1"/>
    <n v="599"/>
    <n v="599"/>
    <x v="2"/>
  </r>
  <r>
    <s v="ORD0034"/>
    <d v="2026-05-31T00:00:00"/>
    <s v="Customer 029"/>
    <x v="1"/>
    <s v="Desk Lamp"/>
    <x v="1"/>
    <n v="2"/>
    <n v="799"/>
    <n v="1598"/>
    <x v="2"/>
  </r>
  <r>
    <s v="ORD0026"/>
    <d v="2026-06-05T00:00:00"/>
    <s v="Customer 026"/>
    <x v="6"/>
    <s v="Jeans"/>
    <x v="0"/>
    <n v="5"/>
    <n v="1299"/>
    <n v="6495"/>
    <x v="3"/>
  </r>
  <r>
    <s v="ORD0057"/>
    <d v="2026-06-06T00:00:00"/>
    <s v="Customer 068"/>
    <x v="1"/>
    <s v="Running Shoes"/>
    <x v="0"/>
    <n v="3"/>
    <n v="1999"/>
    <n v="5997"/>
    <x v="1"/>
  </r>
  <r>
    <s v="ORD0078"/>
    <d v="2026-06-09T00:00:00"/>
    <s v="Customer 041"/>
    <x v="5"/>
    <s v="Keyboard"/>
    <x v="2"/>
    <n v="3"/>
    <n v="899"/>
    <n v="2697"/>
    <x v="3"/>
  </r>
  <r>
    <s v="ORD0095"/>
    <d v="2026-06-10T00:00:00"/>
    <s v="Customer 031"/>
    <x v="4"/>
    <s v="Desk Lamp"/>
    <x v="1"/>
    <n v="4"/>
    <n v="799"/>
    <n v="3196"/>
    <x v="4"/>
  </r>
  <r>
    <s v="ORD0061"/>
    <d v="2026-06-12T00:00:00"/>
    <s v="Customer 055"/>
    <x v="4"/>
    <s v="Wireless Mouse"/>
    <x v="2"/>
    <n v="1"/>
    <n v="599"/>
    <n v="599"/>
    <x v="2"/>
  </r>
  <r>
    <s v="ORD0043"/>
    <d v="2026-06-16T00:00:00"/>
    <s v="Customer 070"/>
    <x v="1"/>
    <s v="Keyboard"/>
    <x v="2"/>
    <n v="1"/>
    <n v="899"/>
    <n v="899"/>
    <x v="2"/>
  </r>
  <r>
    <s v="ORD0083"/>
    <d v="2026-06-17T00:00:00"/>
    <s v="Customer 042"/>
    <x v="3"/>
    <s v="T-Shirt"/>
    <x v="0"/>
    <n v="5"/>
    <n v="699"/>
    <n v="3495"/>
    <x v="4"/>
  </r>
  <r>
    <s v="ORD0089"/>
    <d v="2026-06-17T00:00:00"/>
    <s v="Customer 001"/>
    <x v="5"/>
    <s v="Bluetooth Speaker"/>
    <x v="2"/>
    <n v="2"/>
    <n v="1499"/>
    <n v="2998"/>
    <x v="4"/>
  </r>
  <r>
    <s v="ORD0051"/>
    <d v="2026-06-18T00:00:00"/>
    <s v="Customer 075"/>
    <x v="2"/>
    <s v="Keyboard"/>
    <x v="2"/>
    <n v="4"/>
    <n v="899"/>
    <n v="3596"/>
    <x v="3"/>
  </r>
  <r>
    <s v="ORD0085"/>
    <d v="2026-06-19T00:00:00"/>
    <s v="Customer 080"/>
    <x v="2"/>
    <s v="Notebook"/>
    <x v="3"/>
    <n v="5"/>
    <n v="199"/>
    <n v="995"/>
    <x v="2"/>
  </r>
  <r>
    <s v="ORD0079"/>
    <d v="2026-06-20T00:00:00"/>
    <s v="Customer 053"/>
    <x v="2"/>
    <s v="Desk Lamp"/>
    <x v="1"/>
    <n v="3"/>
    <n v="799"/>
    <n v="2397"/>
    <x v="4"/>
  </r>
  <r>
    <s v="ORD0081"/>
    <d v="2026-06-23T00:00:00"/>
    <s v="Customer 023"/>
    <x v="4"/>
    <s v="Jeans"/>
    <x v="0"/>
    <n v="4"/>
    <n v="1299"/>
    <n v="5196"/>
    <x v="4"/>
  </r>
  <r>
    <s v="ORD0002"/>
    <d v="2026-06-23T00:00:00"/>
    <s v="Customer 070"/>
    <x v="5"/>
    <s v="USB-C Cable"/>
    <x v="2"/>
    <n v="1"/>
    <n v="399"/>
    <n v="399"/>
    <x v="1"/>
  </r>
  <r>
    <s v="ORD0021"/>
    <d v="2026-06-24T00:00:00"/>
    <s v="Customer 055"/>
    <x v="5"/>
    <s v="Jeans"/>
    <x v="0"/>
    <n v="2"/>
    <n v="1299"/>
    <n v="2598"/>
    <x v="4"/>
  </r>
  <r>
    <s v="ORD0023"/>
    <d v="2026-06-24T00:00:00"/>
    <s v="Customer 069"/>
    <x v="4"/>
    <s v="Wireless Mouse"/>
    <x v="2"/>
    <n v="1"/>
    <n v="599"/>
    <n v="599"/>
    <x v="3"/>
  </r>
  <r>
    <s v="ORD0077"/>
    <d v="2026-06-25T00:00:00"/>
    <s v="Customer 026"/>
    <x v="2"/>
    <s v="Desk Lamp"/>
    <x v="1"/>
    <n v="5"/>
    <n v="799"/>
    <n v="3995"/>
    <x v="4"/>
  </r>
  <r>
    <s v="ORD0090"/>
    <d v="2026-06-28T00:00:00"/>
    <s v="Customer 067"/>
    <x v="3"/>
    <s v="Bluetooth Speaker"/>
    <x v="2"/>
    <n v="2"/>
    <n v="1499"/>
    <n v="2998"/>
    <x v="2"/>
  </r>
  <r>
    <s v="ORD0013"/>
    <d v="2026-06-29T00:00:00"/>
    <s v="Customer 010"/>
    <x v="6"/>
    <s v="Jeans"/>
    <x v="0"/>
    <n v="3"/>
    <n v="1299"/>
    <n v="3897"/>
    <x v="1"/>
  </r>
  <r>
    <s v="ORD0098"/>
    <d v="2026-06-30T00:00:00"/>
    <s v="Customer 028"/>
    <x v="5"/>
    <s v="Running Shoes"/>
    <x v="0"/>
    <n v="2"/>
    <n v="1999"/>
    <n v="3998"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ORD0001"/>
    <d v="2026-01-07T00:00:00"/>
    <s v="Customer 036"/>
    <s v="Mumbai"/>
    <s v="Jeans"/>
    <s v="Fashion"/>
    <n v="1"/>
    <n v="1299"/>
    <n v="1299"/>
    <s v="Credit Card"/>
    <x v="0"/>
  </r>
  <r>
    <s v="ORD0004"/>
    <d v="2026-01-07T00:00:00"/>
    <s v="Customer 072"/>
    <s v="Mumbai"/>
    <s v="Desk Lamp"/>
    <s v="Home &amp; Kitchen"/>
    <n v="5"/>
    <n v="799"/>
    <n v="3995"/>
    <s v="Net Banking"/>
    <x v="0"/>
  </r>
  <r>
    <s v="ORD0003"/>
    <d v="2026-01-08T00:00:00"/>
    <s v="Customer 012"/>
    <s v="Mumbai"/>
    <s v="Water Bottle"/>
    <s v="Home &amp; Kitchen"/>
    <n v="1"/>
    <n v="499"/>
    <n v="499"/>
    <s v="Credit Card"/>
    <x v="0"/>
  </r>
  <r>
    <s v="ORD0033"/>
    <d v="2026-01-17T00:00:00"/>
    <s v="Customer 044"/>
    <s v="Hyderabad"/>
    <s v="Bluetooth Speaker"/>
    <s v="Electronics"/>
    <n v="2"/>
    <n v="1499"/>
    <n v="2998"/>
    <s v="Net Banking"/>
    <x v="0"/>
  </r>
  <r>
    <s v="ORD0072"/>
    <d v="2026-01-18T00:00:00"/>
    <s v="Customer 036"/>
    <s v="Pune"/>
    <s v="Backpack"/>
    <s v="Stationery"/>
    <n v="3"/>
    <n v="899"/>
    <n v="2697"/>
    <s v="Net Banking"/>
    <x v="0"/>
  </r>
  <r>
    <s v="ORD0029"/>
    <d v="2026-01-21T00:00:00"/>
    <s v="Customer 011"/>
    <s v="Visakhapatnam"/>
    <s v="Bluetooth Speaker"/>
    <s v="Electronics"/>
    <n v="5"/>
    <n v="1499"/>
    <n v="7495"/>
    <s v="UPI"/>
    <x v="0"/>
  </r>
  <r>
    <s v="ORD0009"/>
    <d v="2026-01-21T00:00:00"/>
    <s v="Customer 071"/>
    <s v="Delhi"/>
    <s v="Keyboard"/>
    <s v="Electronics"/>
    <n v="4"/>
    <n v="899"/>
    <n v="3596"/>
    <s v="Net Banking"/>
    <x v="0"/>
  </r>
  <r>
    <s v="ORD0007"/>
    <d v="2026-01-24T00:00:00"/>
    <s v="Customer 049"/>
    <s v="Bengaluru"/>
    <s v="Backpack"/>
    <s v="Stationery"/>
    <n v="1"/>
    <n v="899"/>
    <n v="899"/>
    <s v="Debit Card"/>
    <x v="0"/>
  </r>
  <r>
    <s v="ORD0020"/>
    <d v="2026-01-24T00:00:00"/>
    <s v="Customer 007"/>
    <s v="Bengaluru"/>
    <s v="Desk Lamp"/>
    <s v="Home &amp; Kitchen"/>
    <n v="4"/>
    <n v="799"/>
    <n v="3196"/>
    <s v="Credit Card"/>
    <x v="0"/>
  </r>
  <r>
    <s v="ORD0091"/>
    <d v="2026-02-01T00:00:00"/>
    <s v="Customer 059"/>
    <s v="Chennai"/>
    <s v="Desk Lamp"/>
    <s v="Home &amp; Kitchen"/>
    <n v="2"/>
    <n v="799"/>
    <n v="1598"/>
    <s v="Cash on Delivery"/>
    <x v="1"/>
  </r>
  <r>
    <s v="ORD0030"/>
    <d v="2026-02-02T00:00:00"/>
    <s v="Customer 061"/>
    <s v="Chennai"/>
    <s v="Desk Lamp"/>
    <s v="Home &amp; Kitchen"/>
    <n v="2"/>
    <n v="799"/>
    <n v="1598"/>
    <s v="Debit Card"/>
    <x v="1"/>
  </r>
  <r>
    <s v="ORD0062"/>
    <d v="2026-02-03T00:00:00"/>
    <s v="Customer 034"/>
    <s v="Chennai"/>
    <s v="Wireless Mouse"/>
    <s v="Electronics"/>
    <n v="3"/>
    <n v="599"/>
    <n v="1797"/>
    <s v="Cash on Delivery"/>
    <x v="1"/>
  </r>
  <r>
    <s v="ORD0058"/>
    <d v="2026-02-04T00:00:00"/>
    <s v="Customer 034"/>
    <s v="Bengaluru"/>
    <s v="Notebook"/>
    <s v="Stationery"/>
    <n v="1"/>
    <n v="199"/>
    <n v="199"/>
    <s v="UPI"/>
    <x v="1"/>
  </r>
  <r>
    <s v="ORD0097"/>
    <d v="2026-02-05T00:00:00"/>
    <s v="Customer 020"/>
    <s v="Mumbai"/>
    <s v="Desk Lamp"/>
    <s v="Home &amp; Kitchen"/>
    <n v="1"/>
    <n v="799"/>
    <n v="799"/>
    <s v="Cash on Delivery"/>
    <x v="1"/>
  </r>
  <r>
    <s v="ORD0018"/>
    <d v="2026-02-05T00:00:00"/>
    <s v="Customer 032"/>
    <s v="Delhi"/>
    <s v="USB-C Cable"/>
    <s v="Electronics"/>
    <n v="3"/>
    <n v="399"/>
    <n v="1197"/>
    <s v="Net Banking"/>
    <x v="1"/>
  </r>
  <r>
    <s v="ORD0059"/>
    <d v="2026-02-09T00:00:00"/>
    <s v="Customer 035"/>
    <s v="Delhi"/>
    <s v="Running Shoes"/>
    <s v="Fashion"/>
    <n v="5"/>
    <n v="1999"/>
    <n v="9995"/>
    <s v="Net Banking"/>
    <x v="1"/>
  </r>
  <r>
    <s v="ORD0012"/>
    <d v="2026-02-11T00:00:00"/>
    <s v="Customer 048"/>
    <s v="Pune"/>
    <s v="Coffee Mug"/>
    <s v="Home &amp; Kitchen"/>
    <n v="3"/>
    <n v="299"/>
    <n v="897"/>
    <s v="Credit Card"/>
    <x v="1"/>
  </r>
  <r>
    <s v="ORD0014"/>
    <d v="2026-02-11T00:00:00"/>
    <s v="Customer 060"/>
    <s v="Vijayawada"/>
    <s v="Running Shoes"/>
    <s v="Fashion"/>
    <n v="2"/>
    <n v="1999"/>
    <n v="3998"/>
    <s v="Debit Card"/>
    <x v="1"/>
  </r>
  <r>
    <s v="ORD0045"/>
    <d v="2026-02-12T00:00:00"/>
    <s v="Customer 049"/>
    <s v="Hyderabad"/>
    <s v="Water Bottle"/>
    <s v="Home &amp; Kitchen"/>
    <n v="1"/>
    <n v="499"/>
    <n v="499"/>
    <s v="Cash on Delivery"/>
    <x v="1"/>
  </r>
  <r>
    <s v="ORD0049"/>
    <d v="2026-02-17T00:00:00"/>
    <s v="Customer 009"/>
    <s v="Bengaluru"/>
    <s v="Desk Lamp"/>
    <s v="Home &amp; Kitchen"/>
    <n v="1"/>
    <n v="799"/>
    <n v="799"/>
    <s v="Credit Card"/>
    <x v="1"/>
  </r>
  <r>
    <s v="ORD0038"/>
    <d v="2026-02-18T00:00:00"/>
    <s v="Customer 013"/>
    <s v="Bengaluru"/>
    <s v="Coffee Mug"/>
    <s v="Home &amp; Kitchen"/>
    <n v="4"/>
    <n v="299"/>
    <n v="1196"/>
    <s v="Cash on Delivery"/>
    <x v="1"/>
  </r>
  <r>
    <s v="ORD0010"/>
    <d v="2026-02-19T00:00:00"/>
    <s v="Customer 009"/>
    <s v="Hyderabad"/>
    <s v="Backpack"/>
    <s v="Stationery"/>
    <n v="5"/>
    <n v="899"/>
    <n v="4495"/>
    <s v="Credit Card"/>
    <x v="1"/>
  </r>
  <r>
    <s v="ORD0088"/>
    <d v="2026-02-19T00:00:00"/>
    <s v="Customer 050"/>
    <s v="Visakhapatnam"/>
    <s v="Water Bottle"/>
    <s v="Home &amp; Kitchen"/>
    <n v="5"/>
    <n v="499"/>
    <n v="2495"/>
    <s v="Cash on Delivery"/>
    <x v="1"/>
  </r>
  <r>
    <s v="ORD0060"/>
    <d v="2026-02-22T00:00:00"/>
    <s v="Customer 034"/>
    <s v="Visakhapatnam"/>
    <s v="Bluetooth Speaker"/>
    <s v="Electronics"/>
    <n v="3"/>
    <n v="1499"/>
    <n v="4497"/>
    <s v="Debit Card"/>
    <x v="1"/>
  </r>
  <r>
    <s v="ORD0017"/>
    <d v="2026-02-24T00:00:00"/>
    <s v="Customer 064"/>
    <s v="Vijayawada"/>
    <s v="T-Shirt"/>
    <s v="Fashion"/>
    <n v="3"/>
    <n v="699"/>
    <n v="2097"/>
    <s v="Cash on Delivery"/>
    <x v="1"/>
  </r>
  <r>
    <s v="ORD0047"/>
    <d v="2026-02-25T00:00:00"/>
    <s v="Customer 008"/>
    <s v="Hyderabad"/>
    <s v="Bluetooth Speaker"/>
    <s v="Electronics"/>
    <n v="3"/>
    <n v="1499"/>
    <n v="4497"/>
    <s v="Debit Card"/>
    <x v="1"/>
  </r>
  <r>
    <s v="ORD0015"/>
    <d v="2026-02-26T00:00:00"/>
    <s v="Customer 042"/>
    <s v="Hyderabad"/>
    <s v="Jeans"/>
    <s v="Fashion"/>
    <n v="5"/>
    <n v="1299"/>
    <n v="6495"/>
    <s v="Credit Card"/>
    <x v="1"/>
  </r>
  <r>
    <s v="ORD0070"/>
    <d v="2026-02-26T00:00:00"/>
    <s v="Customer 026"/>
    <s v="Visakhapatnam"/>
    <s v="Wireless Mouse"/>
    <s v="Electronics"/>
    <n v="4"/>
    <n v="599"/>
    <n v="2396"/>
    <s v="Debit Card"/>
    <x v="1"/>
  </r>
  <r>
    <s v="ORD0071"/>
    <d v="2026-02-27T00:00:00"/>
    <s v="Customer 004"/>
    <s v="Mumbai"/>
    <s v="Notebook"/>
    <s v="Stationery"/>
    <n v="2"/>
    <n v="199"/>
    <n v="398"/>
    <s v="Cash on Delivery"/>
    <x v="1"/>
  </r>
  <r>
    <s v="ORD0086"/>
    <d v="2026-02-27T00:00:00"/>
    <s v="Customer 026"/>
    <s v="Chennai"/>
    <s v="Bluetooth Speaker"/>
    <s v="Electronics"/>
    <n v="3"/>
    <n v="1499"/>
    <n v="4497"/>
    <s v="UPI"/>
    <x v="1"/>
  </r>
  <r>
    <s v="ORD0035"/>
    <d v="2026-02-28T00:00:00"/>
    <s v="Customer 009"/>
    <s v="Hyderabad"/>
    <s v="Running Shoes"/>
    <s v="Fashion"/>
    <n v="1"/>
    <n v="1999"/>
    <n v="1999"/>
    <s v="Debit Card"/>
    <x v="1"/>
  </r>
  <r>
    <s v="ORD0011"/>
    <d v="2026-03-01T00:00:00"/>
    <s v="Customer 013"/>
    <s v="Vijayawada"/>
    <s v="Notebook"/>
    <s v="Stationery"/>
    <n v="1"/>
    <n v="199"/>
    <n v="199"/>
    <s v="Debit Card"/>
    <x v="2"/>
  </r>
  <r>
    <s v="ORD0096"/>
    <d v="2026-03-02T00:00:00"/>
    <s v="Customer 035"/>
    <s v="Pune"/>
    <s v="Keyboard"/>
    <s v="Electronics"/>
    <n v="3"/>
    <n v="899"/>
    <n v="2697"/>
    <s v="Debit Card"/>
    <x v="2"/>
  </r>
  <r>
    <s v="ORD0036"/>
    <d v="2026-03-02T00:00:00"/>
    <s v="Customer 036"/>
    <s v="Visakhapatnam"/>
    <s v="Keyboard"/>
    <s v="Electronics"/>
    <n v="5"/>
    <n v="899"/>
    <n v="4495"/>
    <s v="Credit Card"/>
    <x v="2"/>
  </r>
  <r>
    <s v="ORD0052"/>
    <d v="2026-03-03T00:00:00"/>
    <s v="Customer 034"/>
    <s v="Vijayawada"/>
    <s v="Bluetooth Speaker"/>
    <s v="Electronics"/>
    <n v="3"/>
    <n v="1499"/>
    <n v="4497"/>
    <s v="Credit Card"/>
    <x v="2"/>
  </r>
  <r>
    <s v="ORD0042"/>
    <d v="2026-03-05T00:00:00"/>
    <s v="Customer 010"/>
    <s v="Visakhapatnam"/>
    <s v="Notebook"/>
    <s v="Stationery"/>
    <n v="4"/>
    <n v="199"/>
    <n v="796"/>
    <s v="Net Banking"/>
    <x v="2"/>
  </r>
  <r>
    <s v="ORD0076"/>
    <d v="2026-03-07T00:00:00"/>
    <s v="Customer 006"/>
    <s v="Vijayawada"/>
    <s v="T-Shirt"/>
    <s v="Fashion"/>
    <n v="2"/>
    <n v="699"/>
    <n v="1398"/>
    <s v="UPI"/>
    <x v="2"/>
  </r>
  <r>
    <s v="ORD0074"/>
    <d v="2026-03-09T00:00:00"/>
    <s v="Customer 005"/>
    <s v="Bengaluru"/>
    <s v="USB-C Cable"/>
    <s v="Electronics"/>
    <n v="5"/>
    <n v="399"/>
    <n v="1995"/>
    <s v="Net Banking"/>
    <x v="2"/>
  </r>
  <r>
    <s v="ORD0008"/>
    <d v="2026-03-09T00:00:00"/>
    <s v="Customer 006"/>
    <s v="Visakhapatnam"/>
    <s v="Backpack"/>
    <s v="Stationery"/>
    <n v="5"/>
    <n v="899"/>
    <n v="4495"/>
    <s v="Net Banking"/>
    <x v="2"/>
  </r>
  <r>
    <s v="ORD0055"/>
    <d v="2026-03-09T00:00:00"/>
    <s v="Customer 017"/>
    <s v="Pune"/>
    <s v="Bluetooth Speaker"/>
    <s v="Electronics"/>
    <n v="5"/>
    <n v="1499"/>
    <n v="7495"/>
    <s v="UPI"/>
    <x v="2"/>
  </r>
  <r>
    <s v="ORD0069"/>
    <d v="2026-03-10T00:00:00"/>
    <s v="Customer 021"/>
    <s v="Bengaluru"/>
    <s v="Water Bottle"/>
    <s v="Home &amp; Kitchen"/>
    <n v="2"/>
    <n v="499"/>
    <n v="998"/>
    <s v="Cash on Delivery"/>
    <x v="2"/>
  </r>
  <r>
    <s v="ORD0056"/>
    <d v="2026-03-14T00:00:00"/>
    <s v="Customer 021"/>
    <s v="Visakhapatnam"/>
    <s v="Bluetooth Speaker"/>
    <s v="Electronics"/>
    <n v="3"/>
    <n v="1499"/>
    <n v="4497"/>
    <s v="Net Banking"/>
    <x v="2"/>
  </r>
  <r>
    <s v="ORD0046"/>
    <d v="2026-03-15T00:00:00"/>
    <s v="Customer 055"/>
    <s v="Visakhapatnam"/>
    <s v="Notebook"/>
    <s v="Stationery"/>
    <n v="4"/>
    <n v="199"/>
    <n v="796"/>
    <s v="Credit Card"/>
    <x v="2"/>
  </r>
  <r>
    <s v="ORD0082"/>
    <d v="2026-03-19T00:00:00"/>
    <s v="Customer 037"/>
    <s v="Mumbai"/>
    <s v="Desk Lamp"/>
    <s v="Home &amp; Kitchen"/>
    <n v="1"/>
    <n v="799"/>
    <n v="799"/>
    <s v="Cash on Delivery"/>
    <x v="2"/>
  </r>
  <r>
    <s v="ORD0075"/>
    <d v="2026-03-22T00:00:00"/>
    <s v="Customer 056"/>
    <s v="Bengaluru"/>
    <s v="Water Bottle"/>
    <s v="Home &amp; Kitchen"/>
    <n v="3"/>
    <n v="499"/>
    <n v="1497"/>
    <s v="Cash on Delivery"/>
    <x v="2"/>
  </r>
  <r>
    <s v="ORD0073"/>
    <d v="2026-03-26T00:00:00"/>
    <s v="Customer 004"/>
    <s v="Bengaluru"/>
    <s v="Water Bottle"/>
    <s v="Home &amp; Kitchen"/>
    <n v="5"/>
    <n v="499"/>
    <n v="2495"/>
    <s v="Debit Card"/>
    <x v="2"/>
  </r>
  <r>
    <s v="ORD0040"/>
    <d v="2026-03-28T00:00:00"/>
    <s v="Customer 014"/>
    <s v="Mumbai"/>
    <s v="Wireless Mouse"/>
    <s v="Electronics"/>
    <n v="4"/>
    <n v="599"/>
    <n v="2396"/>
    <s v="Credit Card"/>
    <x v="2"/>
  </r>
  <r>
    <s v="ORD0006"/>
    <d v="2026-03-29T00:00:00"/>
    <s v="Customer 036"/>
    <s v="Chennai"/>
    <s v="USB-C Cable"/>
    <s v="Electronics"/>
    <n v="4"/>
    <n v="399"/>
    <n v="1596"/>
    <s v="Credit Card"/>
    <x v="2"/>
  </r>
  <r>
    <s v="ORD0066"/>
    <d v="2026-04-02T00:00:00"/>
    <s v="Customer 027"/>
    <s v="Mumbai"/>
    <s v="Backpack"/>
    <s v="Stationery"/>
    <n v="1"/>
    <n v="899"/>
    <n v="899"/>
    <s v="UPI"/>
    <x v="3"/>
  </r>
  <r>
    <s v="ORD0028"/>
    <d v="2026-04-03T00:00:00"/>
    <s v="Customer 040"/>
    <s v="Mumbai"/>
    <s v="Wireless Mouse"/>
    <s v="Electronics"/>
    <n v="1"/>
    <n v="599"/>
    <n v="599"/>
    <s v="UPI"/>
    <x v="3"/>
  </r>
  <r>
    <s v="ORD0100"/>
    <d v="2026-04-10T00:00:00"/>
    <s v="Customer 075"/>
    <s v="Hyderabad"/>
    <s v="Bluetooth Speaker"/>
    <s v="Electronics"/>
    <n v="4"/>
    <n v="1499"/>
    <n v="5996"/>
    <s v="Net Banking"/>
    <x v="3"/>
  </r>
  <r>
    <s v="ORD0016"/>
    <d v="2026-04-13T00:00:00"/>
    <s v="Customer 035"/>
    <s v="Bengaluru"/>
    <s v="Wireless Mouse"/>
    <s v="Electronics"/>
    <n v="3"/>
    <n v="599"/>
    <n v="1797"/>
    <s v="Credit Card"/>
    <x v="3"/>
  </r>
  <r>
    <s v="ORD0019"/>
    <d v="2026-04-13T00:00:00"/>
    <s v="Customer 047"/>
    <s v="Mumbai"/>
    <s v="Water Bottle"/>
    <s v="Home &amp; Kitchen"/>
    <n v="5"/>
    <n v="499"/>
    <n v="2495"/>
    <s v="Credit Card"/>
    <x v="3"/>
  </r>
  <r>
    <s v="ORD0044"/>
    <d v="2026-04-15T00:00:00"/>
    <s v="Customer 063"/>
    <s v="Visakhapatnam"/>
    <s v="Bluetooth Speaker"/>
    <s v="Electronics"/>
    <n v="2"/>
    <n v="1499"/>
    <n v="2998"/>
    <s v="Credit Card"/>
    <x v="3"/>
  </r>
  <r>
    <s v="ORD0067"/>
    <d v="2026-04-15T00:00:00"/>
    <s v="Customer 080"/>
    <s v="Chennai"/>
    <s v="Backpack"/>
    <s v="Stationery"/>
    <n v="5"/>
    <n v="899"/>
    <n v="4495"/>
    <s v="Credit Card"/>
    <x v="3"/>
  </r>
  <r>
    <s v="ORD0039"/>
    <d v="2026-04-16T00:00:00"/>
    <s v="Customer 060"/>
    <s v="Hyderabad"/>
    <s v="Backpack"/>
    <s v="Stationery"/>
    <n v="4"/>
    <n v="899"/>
    <n v="3596"/>
    <s v="UPI"/>
    <x v="3"/>
  </r>
  <r>
    <s v="ORD0068"/>
    <d v="2026-04-16T00:00:00"/>
    <s v="Customer 004"/>
    <s v="Chennai"/>
    <s v="USB-C Cable"/>
    <s v="Electronics"/>
    <n v="2"/>
    <n v="399"/>
    <n v="798"/>
    <s v="Debit Card"/>
    <x v="3"/>
  </r>
  <r>
    <s v="ORD0031"/>
    <d v="2026-04-19T00:00:00"/>
    <s v="Customer 028"/>
    <s v="Mumbai"/>
    <s v="Desk Lamp"/>
    <s v="Home &amp; Kitchen"/>
    <n v="5"/>
    <n v="799"/>
    <n v="3995"/>
    <s v="Debit Card"/>
    <x v="3"/>
  </r>
  <r>
    <s v="ORD0093"/>
    <d v="2026-04-20T00:00:00"/>
    <s v="Customer 071"/>
    <s v="Visakhapatnam"/>
    <s v="T-Shirt"/>
    <s v="Fashion"/>
    <n v="5"/>
    <n v="699"/>
    <n v="3495"/>
    <s v="Credit Card"/>
    <x v="3"/>
  </r>
  <r>
    <s v="ORD0065"/>
    <d v="2026-04-21T00:00:00"/>
    <s v="Customer 017"/>
    <s v="Hyderabad"/>
    <s v="Desk Lamp"/>
    <s v="Home &amp; Kitchen"/>
    <n v="2"/>
    <n v="799"/>
    <n v="1598"/>
    <s v="Debit Card"/>
    <x v="3"/>
  </r>
  <r>
    <s v="ORD0024"/>
    <d v="2026-04-22T00:00:00"/>
    <s v="Customer 021"/>
    <s v="Visakhapatnam"/>
    <s v="Keyboard"/>
    <s v="Electronics"/>
    <n v="3"/>
    <n v="899"/>
    <n v="2697"/>
    <s v="UPI"/>
    <x v="3"/>
  </r>
  <r>
    <s v="ORD0032"/>
    <d v="2026-04-23T00:00:00"/>
    <s v="Customer 067"/>
    <s v="Visakhapatnam"/>
    <s v="Water Bottle"/>
    <s v="Home &amp; Kitchen"/>
    <n v="3"/>
    <n v="499"/>
    <n v="1497"/>
    <s v="UPI"/>
    <x v="3"/>
  </r>
  <r>
    <s v="ORD0005"/>
    <d v="2026-04-25T00:00:00"/>
    <s v="Customer 076"/>
    <s v="Delhi"/>
    <s v="Water Bottle"/>
    <s v="Home &amp; Kitchen"/>
    <n v="2"/>
    <n v="499"/>
    <n v="998"/>
    <s v="UPI"/>
    <x v="3"/>
  </r>
  <r>
    <s v="ORD0041"/>
    <d v="2026-04-25T00:00:00"/>
    <s v="Customer 018"/>
    <s v="Vijayawada"/>
    <s v="Bluetooth Speaker"/>
    <s v="Electronics"/>
    <n v="5"/>
    <n v="1499"/>
    <n v="7495"/>
    <s v="Credit Card"/>
    <x v="3"/>
  </r>
  <r>
    <s v="ORD0094"/>
    <d v="2026-04-26T00:00:00"/>
    <s v="Customer 034"/>
    <s v="Mumbai"/>
    <s v="Running Shoes"/>
    <s v="Fashion"/>
    <n v="4"/>
    <n v="1999"/>
    <n v="7996"/>
    <s v="Debit Card"/>
    <x v="3"/>
  </r>
  <r>
    <s v="ORD0053"/>
    <d v="2026-04-28T00:00:00"/>
    <s v="Customer 041"/>
    <s v="Bengaluru"/>
    <s v="Jeans"/>
    <s v="Fashion"/>
    <n v="3"/>
    <n v="1299"/>
    <n v="3897"/>
    <s v="UPI"/>
    <x v="3"/>
  </r>
  <r>
    <s v="ORD0022"/>
    <d v="2026-04-30T00:00:00"/>
    <s v="Customer 068"/>
    <s v="Delhi"/>
    <s v="Water Bottle"/>
    <s v="Home &amp; Kitchen"/>
    <n v="5"/>
    <n v="499"/>
    <n v="2495"/>
    <s v="Net Banking"/>
    <x v="3"/>
  </r>
  <r>
    <s v="ORD0087"/>
    <d v="2026-05-02T00:00:00"/>
    <s v="Customer 079"/>
    <s v="Bengaluru"/>
    <s v="Wireless Mouse"/>
    <s v="Electronics"/>
    <n v="2"/>
    <n v="599"/>
    <n v="1198"/>
    <s v="Cash on Delivery"/>
    <x v="4"/>
  </r>
  <r>
    <s v="ORD0025"/>
    <d v="2026-05-09T00:00:00"/>
    <s v="Customer 023"/>
    <s v="Bengaluru"/>
    <s v="Running Shoes"/>
    <s v="Fashion"/>
    <n v="3"/>
    <n v="1999"/>
    <n v="5997"/>
    <s v="Debit Card"/>
    <x v="4"/>
  </r>
  <r>
    <s v="ORD0084"/>
    <d v="2026-05-11T00:00:00"/>
    <s v="Customer 061"/>
    <s v="Chennai"/>
    <s v="Coffee Mug"/>
    <s v="Home &amp; Kitchen"/>
    <n v="2"/>
    <n v="299"/>
    <n v="598"/>
    <s v="UPI"/>
    <x v="4"/>
  </r>
  <r>
    <s v="ORD0027"/>
    <d v="2026-05-16T00:00:00"/>
    <s v="Customer 001"/>
    <s v="Pune"/>
    <s v="USB-C Cable"/>
    <s v="Electronics"/>
    <n v="5"/>
    <n v="399"/>
    <n v="1995"/>
    <s v="Cash on Delivery"/>
    <x v="4"/>
  </r>
  <r>
    <s v="ORD0099"/>
    <d v="2026-05-19T00:00:00"/>
    <s v="Customer 060"/>
    <s v="Vijayawada"/>
    <s v="Water Bottle"/>
    <s v="Home &amp; Kitchen"/>
    <n v="3"/>
    <n v="499"/>
    <n v="1497"/>
    <s v="UPI"/>
    <x v="4"/>
  </r>
  <r>
    <s v="ORD0064"/>
    <d v="2026-05-20T00:00:00"/>
    <s v="Customer 005"/>
    <s v="Pune"/>
    <s v="Running Shoes"/>
    <s v="Fashion"/>
    <n v="2"/>
    <n v="1999"/>
    <n v="3998"/>
    <s v="Net Banking"/>
    <x v="4"/>
  </r>
  <r>
    <s v="ORD0080"/>
    <d v="2026-05-22T00:00:00"/>
    <s v="Customer 017"/>
    <s v="Mumbai"/>
    <s v="Running Shoes"/>
    <s v="Fashion"/>
    <n v="3"/>
    <n v="1999"/>
    <n v="5997"/>
    <s v="Cash on Delivery"/>
    <x v="4"/>
  </r>
  <r>
    <s v="ORD0092"/>
    <d v="2026-05-24T00:00:00"/>
    <s v="Customer 077"/>
    <s v="Pune"/>
    <s v="Jeans"/>
    <s v="Fashion"/>
    <n v="5"/>
    <n v="1299"/>
    <n v="6495"/>
    <s v="Cash on Delivery"/>
    <x v="4"/>
  </r>
  <r>
    <s v="ORD0063"/>
    <d v="2026-05-24T00:00:00"/>
    <s v="Customer 002"/>
    <s v="Bengaluru"/>
    <s v="Desk Lamp"/>
    <s v="Home &amp; Kitchen"/>
    <n v="4"/>
    <n v="799"/>
    <n v="3196"/>
    <s v="UPI"/>
    <x v="4"/>
  </r>
  <r>
    <s v="ORD0054"/>
    <d v="2026-05-25T00:00:00"/>
    <s v="Customer 013"/>
    <s v="Bengaluru"/>
    <s v="Coffee Mug"/>
    <s v="Home &amp; Kitchen"/>
    <n v="5"/>
    <n v="299"/>
    <n v="1495"/>
    <s v="Net Banking"/>
    <x v="4"/>
  </r>
  <r>
    <s v="ORD0050"/>
    <d v="2026-05-26T00:00:00"/>
    <s v="Customer 032"/>
    <s v="Hyderabad"/>
    <s v="Water Bottle"/>
    <s v="Home &amp; Kitchen"/>
    <n v="1"/>
    <n v="499"/>
    <n v="499"/>
    <s v="Net Banking"/>
    <x v="4"/>
  </r>
  <r>
    <s v="ORD0037"/>
    <d v="2026-05-27T00:00:00"/>
    <s v="Customer 074"/>
    <s v="Visakhapatnam"/>
    <s v="Desk Lamp"/>
    <s v="Home &amp; Kitchen"/>
    <n v="2"/>
    <n v="799"/>
    <n v="1598"/>
    <s v="Credit Card"/>
    <x v="4"/>
  </r>
  <r>
    <s v="ORD0048"/>
    <d v="2026-05-30T00:00:00"/>
    <s v="Customer 062"/>
    <s v="Chennai"/>
    <s v="Wireless Mouse"/>
    <s v="Electronics"/>
    <n v="1"/>
    <n v="599"/>
    <n v="599"/>
    <s v="UPI"/>
    <x v="4"/>
  </r>
  <r>
    <s v="ORD0034"/>
    <d v="2026-05-31T00:00:00"/>
    <s v="Customer 029"/>
    <s v="Hyderabad"/>
    <s v="Desk Lamp"/>
    <s v="Home &amp; Kitchen"/>
    <n v="2"/>
    <n v="799"/>
    <n v="1598"/>
    <s v="UPI"/>
    <x v="4"/>
  </r>
  <r>
    <s v="ORD0026"/>
    <d v="2026-06-05T00:00:00"/>
    <s v="Customer 026"/>
    <s v="Chennai"/>
    <s v="Jeans"/>
    <s v="Fashion"/>
    <n v="5"/>
    <n v="1299"/>
    <n v="6495"/>
    <s v="Debit Card"/>
    <x v="5"/>
  </r>
  <r>
    <s v="ORD0057"/>
    <d v="2026-06-06T00:00:00"/>
    <s v="Customer 068"/>
    <s v="Hyderabad"/>
    <s v="Running Shoes"/>
    <s v="Fashion"/>
    <n v="3"/>
    <n v="1999"/>
    <n v="5997"/>
    <s v="Net Banking"/>
    <x v="5"/>
  </r>
  <r>
    <s v="ORD0078"/>
    <d v="2026-06-09T00:00:00"/>
    <s v="Customer 041"/>
    <s v="Bengaluru"/>
    <s v="Keyboard"/>
    <s v="Electronics"/>
    <n v="3"/>
    <n v="899"/>
    <n v="2697"/>
    <s v="Debit Card"/>
    <x v="5"/>
  </r>
  <r>
    <s v="ORD0095"/>
    <d v="2026-06-10T00:00:00"/>
    <s v="Customer 031"/>
    <s v="Delhi"/>
    <s v="Desk Lamp"/>
    <s v="Home &amp; Kitchen"/>
    <n v="4"/>
    <n v="799"/>
    <n v="3196"/>
    <s v="Cash on Delivery"/>
    <x v="5"/>
  </r>
  <r>
    <s v="ORD0061"/>
    <d v="2026-06-12T00:00:00"/>
    <s v="Customer 055"/>
    <s v="Delhi"/>
    <s v="Wireless Mouse"/>
    <s v="Electronics"/>
    <n v="1"/>
    <n v="599"/>
    <n v="599"/>
    <s v="UPI"/>
    <x v="5"/>
  </r>
  <r>
    <s v="ORD0043"/>
    <d v="2026-06-16T00:00:00"/>
    <s v="Customer 070"/>
    <s v="Hyderabad"/>
    <s v="Keyboard"/>
    <s v="Electronics"/>
    <n v="1"/>
    <n v="899"/>
    <n v="899"/>
    <s v="UPI"/>
    <x v="5"/>
  </r>
  <r>
    <s v="ORD0083"/>
    <d v="2026-06-17T00:00:00"/>
    <s v="Customer 042"/>
    <s v="Visakhapatnam"/>
    <s v="T-Shirt"/>
    <s v="Fashion"/>
    <n v="5"/>
    <n v="699"/>
    <n v="3495"/>
    <s v="Cash on Delivery"/>
    <x v="5"/>
  </r>
  <r>
    <s v="ORD0089"/>
    <d v="2026-06-17T00:00:00"/>
    <s v="Customer 001"/>
    <s v="Bengaluru"/>
    <s v="Bluetooth Speaker"/>
    <s v="Electronics"/>
    <n v="2"/>
    <n v="1499"/>
    <n v="2998"/>
    <s v="Cash on Delivery"/>
    <x v="5"/>
  </r>
  <r>
    <s v="ORD0051"/>
    <d v="2026-06-18T00:00:00"/>
    <s v="Customer 075"/>
    <s v="Pune"/>
    <s v="Keyboard"/>
    <s v="Electronics"/>
    <n v="4"/>
    <n v="899"/>
    <n v="3596"/>
    <s v="Debit Card"/>
    <x v="5"/>
  </r>
  <r>
    <s v="ORD0085"/>
    <d v="2026-06-19T00:00:00"/>
    <s v="Customer 080"/>
    <s v="Pune"/>
    <s v="Notebook"/>
    <s v="Stationery"/>
    <n v="5"/>
    <n v="199"/>
    <n v="995"/>
    <s v="UPI"/>
    <x v="5"/>
  </r>
  <r>
    <s v="ORD0079"/>
    <d v="2026-06-20T00:00:00"/>
    <s v="Customer 053"/>
    <s v="Pune"/>
    <s v="Desk Lamp"/>
    <s v="Home &amp; Kitchen"/>
    <n v="3"/>
    <n v="799"/>
    <n v="2397"/>
    <s v="Cash on Delivery"/>
    <x v="5"/>
  </r>
  <r>
    <s v="ORD0081"/>
    <d v="2026-06-23T00:00:00"/>
    <s v="Customer 023"/>
    <s v="Delhi"/>
    <s v="Jeans"/>
    <s v="Fashion"/>
    <n v="4"/>
    <n v="1299"/>
    <n v="5196"/>
    <s v="Cash on Delivery"/>
    <x v="5"/>
  </r>
  <r>
    <s v="ORD0002"/>
    <d v="2026-06-23T00:00:00"/>
    <s v="Customer 070"/>
    <s v="Bengaluru"/>
    <s v="USB-C Cable"/>
    <s v="Electronics"/>
    <n v="1"/>
    <n v="399"/>
    <n v="399"/>
    <s v="Net Banking"/>
    <x v="5"/>
  </r>
  <r>
    <s v="ORD0021"/>
    <d v="2026-06-24T00:00:00"/>
    <s v="Customer 055"/>
    <s v="Bengaluru"/>
    <s v="Jeans"/>
    <s v="Fashion"/>
    <n v="2"/>
    <n v="1299"/>
    <n v="2598"/>
    <s v="Cash on Delivery"/>
    <x v="5"/>
  </r>
  <r>
    <s v="ORD0023"/>
    <d v="2026-06-24T00:00:00"/>
    <s v="Customer 069"/>
    <s v="Delhi"/>
    <s v="Wireless Mouse"/>
    <s v="Electronics"/>
    <n v="1"/>
    <n v="599"/>
    <n v="599"/>
    <s v="Debit Card"/>
    <x v="5"/>
  </r>
  <r>
    <s v="ORD0077"/>
    <d v="2026-06-25T00:00:00"/>
    <s v="Customer 026"/>
    <s v="Pune"/>
    <s v="Desk Lamp"/>
    <s v="Home &amp; Kitchen"/>
    <n v="5"/>
    <n v="799"/>
    <n v="3995"/>
    <s v="Cash on Delivery"/>
    <x v="5"/>
  </r>
  <r>
    <s v="ORD0090"/>
    <d v="2026-06-28T00:00:00"/>
    <s v="Customer 067"/>
    <s v="Visakhapatnam"/>
    <s v="Bluetooth Speaker"/>
    <s v="Electronics"/>
    <n v="2"/>
    <n v="1499"/>
    <n v="2998"/>
    <s v="UPI"/>
    <x v="5"/>
  </r>
  <r>
    <s v="ORD0013"/>
    <d v="2026-06-29T00:00:00"/>
    <s v="Customer 010"/>
    <s v="Chennai"/>
    <s v="Jeans"/>
    <s v="Fashion"/>
    <n v="3"/>
    <n v="1299"/>
    <n v="3897"/>
    <s v="Net Banking"/>
    <x v="5"/>
  </r>
  <r>
    <s v="ORD0098"/>
    <d v="2026-06-30T00:00:00"/>
    <s v="Customer 028"/>
    <s v="Bengaluru"/>
    <s v="Running Shoes"/>
    <s v="Fashion"/>
    <n v="2"/>
    <n v="1999"/>
    <n v="3998"/>
    <s v="Cash on Delivery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7A17B9-EE02-47FF-AA32-2D7F3FFC0C3E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8" firstHeaderRow="1" firstDataRow="1" firstDataCol="1"/>
  <pivotFields count="10">
    <pivotField showAll="0"/>
    <pivotField numFmtId="164" showAll="0"/>
    <pivotField showAll="0"/>
    <pivotField showAll="0">
      <items count="9">
        <item h="1" x="5"/>
        <item h="1" x="6"/>
        <item h="1" x="4"/>
        <item h="1" x="1"/>
        <item h="1" x="0"/>
        <item h="1" x="2"/>
        <item x="7"/>
        <item h="1" x="3"/>
        <item t="default"/>
      </items>
    </pivotField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numFmtId="165" showAll="0"/>
    <pivotField dataField="1" numFmtId="165"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 (₹)" fld="8" baseField="0" baseItem="0" numFmtId="165"/>
  </dataFields>
  <chartFormats count="2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E8AF9A-3281-48C7-A7B9-C2A8175CF880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2" firstHeaderRow="1" firstDataRow="1" firstDataCol="1"/>
  <pivotFields count="10">
    <pivotField showAll="0"/>
    <pivotField numFmtId="164" showAll="0"/>
    <pivotField showAll="0"/>
    <pivotField axis="axisRow" showAll="0">
      <items count="9">
        <item x="5"/>
        <item x="6"/>
        <item x="4"/>
        <item x="1"/>
        <item x="0"/>
        <item x="2"/>
        <item x="7"/>
        <item x="3"/>
        <item t="default"/>
      </items>
    </pivotField>
    <pivotField showAll="0"/>
    <pivotField showAll="0"/>
    <pivotField showAll="0"/>
    <pivotField numFmtId="165" showAll="0"/>
    <pivotField dataField="1" numFmtId="165" showAll="0"/>
    <pivotField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Sales (₹)" fld="8" baseField="0" baseItem="0" numFmtId="165"/>
  </dataFields>
  <chartFormats count="2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62CA1A-F721-4FA4-BA76-8CA2569D4D3C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9" firstHeaderRow="1" firstDataRow="1" firstDataCol="1"/>
  <pivotFields count="10">
    <pivotField showAll="0"/>
    <pivotField numFmtId="164" showAll="0"/>
    <pivotField showAll="0"/>
    <pivotField showAll="0"/>
    <pivotField showAll="0"/>
    <pivotField showAll="0"/>
    <pivotField showAll="0"/>
    <pivotField numFmtId="165" showAll="0"/>
    <pivotField dataField="1" numFmtId="165" showAll="0"/>
    <pivotField axis="axisRow" showAll="0">
      <items count="6">
        <item x="4"/>
        <item x="0"/>
        <item x="3"/>
        <item x="1"/>
        <item x="2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 (₹)" fld="8" baseField="0" baseItem="0" numFmtId="165"/>
  </dataFields>
  <chartFormats count="2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3C6F89-D85F-47A3-BE79-112F641E966C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B10" firstHeaderRow="1" firstDataRow="1" firstDataCol="1"/>
  <pivotFields count="11">
    <pivotField showAll="0"/>
    <pivotField numFmtId="164" showAll="0"/>
    <pivotField showAll="0"/>
    <pivotField showAll="0"/>
    <pivotField showAll="0"/>
    <pivotField showAll="0"/>
    <pivotField showAll="0"/>
    <pivotField numFmtId="165" showAll="0"/>
    <pivotField dataField="1" numFmtId="165"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 (₹)" fld="8" baseField="0" baseItem="0" numFmtId="165"/>
  </dataFields>
  <chartFormats count="2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16246-6C32-4338-84F4-4D9D9795D5CC}">
  <dimension ref="A3:B8"/>
  <sheetViews>
    <sheetView workbookViewId="0">
      <selection activeCell="G8" sqref="G8"/>
    </sheetView>
  </sheetViews>
  <sheetFormatPr defaultRowHeight="14.4" x14ac:dyDescent="0.3"/>
  <cols>
    <col min="1" max="1" width="14.21875" bestFit="1" customWidth="1"/>
    <col min="2" max="2" width="14.5546875" bestFit="1" customWidth="1"/>
  </cols>
  <sheetData>
    <row r="3" spans="1:2" x14ac:dyDescent="0.3">
      <c r="A3" s="4" t="s">
        <v>210</v>
      </c>
      <c r="B3" t="s">
        <v>212</v>
      </c>
    </row>
    <row r="4" spans="1:2" x14ac:dyDescent="0.3">
      <c r="A4" s="5" t="s">
        <v>28</v>
      </c>
      <c r="B4" s="3">
        <v>103595</v>
      </c>
    </row>
    <row r="5" spans="1:2" x14ac:dyDescent="0.3">
      <c r="A5" s="5" t="s">
        <v>14</v>
      </c>
      <c r="B5" s="3">
        <v>96832</v>
      </c>
    </row>
    <row r="6" spans="1:2" x14ac:dyDescent="0.3">
      <c r="A6" s="5" t="s">
        <v>19</v>
      </c>
      <c r="B6" s="3">
        <v>56507</v>
      </c>
    </row>
    <row r="7" spans="1:2" x14ac:dyDescent="0.3">
      <c r="A7" s="5" t="s">
        <v>32</v>
      </c>
      <c r="B7" s="3">
        <v>24959</v>
      </c>
    </row>
    <row r="8" spans="1:2" x14ac:dyDescent="0.3">
      <c r="A8" s="5" t="s">
        <v>211</v>
      </c>
      <c r="B8" s="3">
        <v>281893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51DE1-3807-420E-B717-FCEF4E2AD4A9}">
  <dimension ref="A3:B12"/>
  <sheetViews>
    <sheetView workbookViewId="0">
      <selection activeCell="A3" sqref="A3"/>
    </sheetView>
  </sheetViews>
  <sheetFormatPr defaultRowHeight="14.4" x14ac:dyDescent="0.3"/>
  <cols>
    <col min="1" max="1" width="13.5546875" bestFit="1" customWidth="1"/>
    <col min="2" max="2" width="14.5546875" bestFit="1" customWidth="1"/>
  </cols>
  <sheetData>
    <row r="3" spans="1:2" x14ac:dyDescent="0.3">
      <c r="A3" s="4" t="s">
        <v>210</v>
      </c>
      <c r="B3" t="s">
        <v>212</v>
      </c>
    </row>
    <row r="4" spans="1:2" x14ac:dyDescent="0.3">
      <c r="A4" s="5" t="s">
        <v>43</v>
      </c>
      <c r="B4" s="3">
        <v>43544</v>
      </c>
    </row>
    <row r="5" spans="1:2" x14ac:dyDescent="0.3">
      <c r="A5" s="5" t="s">
        <v>49</v>
      </c>
      <c r="B5" s="3">
        <v>27968</v>
      </c>
    </row>
    <row r="6" spans="1:2" x14ac:dyDescent="0.3">
      <c r="A6" s="5" t="s">
        <v>39</v>
      </c>
      <c r="B6" s="3">
        <v>27871</v>
      </c>
    </row>
    <row r="7" spans="1:2" x14ac:dyDescent="0.3">
      <c r="A7" s="5" t="s">
        <v>26</v>
      </c>
      <c r="B7" s="3">
        <v>41166</v>
      </c>
    </row>
    <row r="8" spans="1:2" x14ac:dyDescent="0.3">
      <c r="A8" s="5" t="s">
        <v>12</v>
      </c>
      <c r="B8" s="3">
        <v>32166</v>
      </c>
    </row>
    <row r="9" spans="1:2" x14ac:dyDescent="0.3">
      <c r="A9" s="5" t="s">
        <v>30</v>
      </c>
      <c r="B9" s="3">
        <v>37257</v>
      </c>
    </row>
    <row r="10" spans="1:2" x14ac:dyDescent="0.3">
      <c r="A10" s="5" t="s">
        <v>71</v>
      </c>
      <c r="B10" s="3">
        <v>21181</v>
      </c>
    </row>
    <row r="11" spans="1:2" x14ac:dyDescent="0.3">
      <c r="A11" s="5" t="s">
        <v>35</v>
      </c>
      <c r="B11" s="3">
        <v>50740</v>
      </c>
    </row>
    <row r="12" spans="1:2" x14ac:dyDescent="0.3">
      <c r="A12" s="5" t="s">
        <v>211</v>
      </c>
      <c r="B12" s="3">
        <v>281893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58406-E5A3-4251-8B8E-0FF4E1DAA38D}">
  <dimension ref="A3:B9"/>
  <sheetViews>
    <sheetView topLeftCell="A8" workbookViewId="0">
      <selection activeCell="G17" sqref="G17"/>
    </sheetView>
  </sheetViews>
  <sheetFormatPr defaultRowHeight="14.4" x14ac:dyDescent="0.3"/>
  <cols>
    <col min="1" max="2" width="14.5546875" bestFit="1" customWidth="1"/>
  </cols>
  <sheetData>
    <row r="3" spans="1:2" x14ac:dyDescent="0.3">
      <c r="A3" s="4" t="s">
        <v>210</v>
      </c>
      <c r="B3" t="s">
        <v>212</v>
      </c>
    </row>
    <row r="4" spans="1:2" x14ac:dyDescent="0.3">
      <c r="A4" s="5" t="s">
        <v>50</v>
      </c>
      <c r="B4" s="3">
        <v>57731</v>
      </c>
    </row>
    <row r="5" spans="1:2" x14ac:dyDescent="0.3">
      <c r="A5" s="5" t="s">
        <v>15</v>
      </c>
      <c r="B5" s="3">
        <v>55833</v>
      </c>
    </row>
    <row r="6" spans="1:2" x14ac:dyDescent="0.3">
      <c r="A6" s="5" t="s">
        <v>44</v>
      </c>
      <c r="B6" s="3">
        <v>59046</v>
      </c>
    </row>
    <row r="7" spans="1:2" x14ac:dyDescent="0.3">
      <c r="A7" s="5" t="s">
        <v>20</v>
      </c>
      <c r="B7" s="3">
        <v>61037</v>
      </c>
    </row>
    <row r="8" spans="1:2" x14ac:dyDescent="0.3">
      <c r="A8" s="5" t="s">
        <v>36</v>
      </c>
      <c r="B8" s="3">
        <v>48246</v>
      </c>
    </row>
    <row r="9" spans="1:2" x14ac:dyDescent="0.3">
      <c r="A9" s="5" t="s">
        <v>211</v>
      </c>
      <c r="B9" s="3">
        <v>281893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AF267-B568-4156-A5A3-181672D4C9F7}">
  <dimension ref="A3:B10"/>
  <sheetViews>
    <sheetView topLeftCell="A10" workbookViewId="0">
      <selection activeCell="F16" sqref="F16"/>
    </sheetView>
  </sheetViews>
  <sheetFormatPr defaultRowHeight="14.4" x14ac:dyDescent="0.3"/>
  <cols>
    <col min="1" max="1" width="12.5546875" bestFit="1" customWidth="1"/>
    <col min="2" max="2" width="14.5546875" bestFit="1" customWidth="1"/>
  </cols>
  <sheetData>
    <row r="3" spans="1:2" x14ac:dyDescent="0.3">
      <c r="A3" s="4" t="s">
        <v>210</v>
      </c>
      <c r="B3" t="s">
        <v>212</v>
      </c>
    </row>
    <row r="4" spans="1:2" x14ac:dyDescent="0.3">
      <c r="A4" s="5" t="s">
        <v>214</v>
      </c>
      <c r="B4" s="3">
        <v>26674</v>
      </c>
    </row>
    <row r="5" spans="1:2" x14ac:dyDescent="0.3">
      <c r="A5" s="5" t="s">
        <v>215</v>
      </c>
      <c r="B5" s="3">
        <v>58438</v>
      </c>
    </row>
    <row r="6" spans="1:2" x14ac:dyDescent="0.3">
      <c r="A6" s="5" t="s">
        <v>216</v>
      </c>
      <c r="B6" s="3">
        <v>43141</v>
      </c>
    </row>
    <row r="7" spans="1:2" x14ac:dyDescent="0.3">
      <c r="A7" s="5" t="s">
        <v>217</v>
      </c>
      <c r="B7" s="3">
        <v>59836</v>
      </c>
    </row>
    <row r="8" spans="1:2" x14ac:dyDescent="0.3">
      <c r="A8" s="5" t="s">
        <v>218</v>
      </c>
      <c r="B8" s="3">
        <v>36760</v>
      </c>
    </row>
    <row r="9" spans="1:2" x14ac:dyDescent="0.3">
      <c r="A9" s="5" t="s">
        <v>219</v>
      </c>
      <c r="B9" s="3">
        <v>57044</v>
      </c>
    </row>
    <row r="10" spans="1:2" x14ac:dyDescent="0.3">
      <c r="A10" s="5" t="s">
        <v>211</v>
      </c>
      <c r="B10" s="3">
        <v>281893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zoomScale="97" workbookViewId="0">
      <pane ySplit="1" topLeftCell="A2" activePane="bottomLeft" state="frozen"/>
      <selection pane="bottomLeft" activeCell="L2" sqref="L2"/>
    </sheetView>
  </sheetViews>
  <sheetFormatPr defaultRowHeight="14.4" x14ac:dyDescent="0.3"/>
  <cols>
    <col min="1" max="1" width="10" customWidth="1"/>
    <col min="2" max="2" width="21" customWidth="1"/>
    <col min="3" max="3" width="14" customWidth="1"/>
    <col min="4" max="4" width="15" customWidth="1"/>
    <col min="5" max="5" width="19" customWidth="1"/>
    <col min="6" max="6" width="16" customWidth="1"/>
    <col min="7" max="7" width="10" customWidth="1"/>
    <col min="8" max="8" width="16" customWidth="1"/>
    <col min="9" max="9" width="11" customWidth="1"/>
    <col min="10" max="10" width="18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6" t="s">
        <v>213</v>
      </c>
    </row>
    <row r="2" spans="1:12" x14ac:dyDescent="0.3">
      <c r="A2" t="s">
        <v>10</v>
      </c>
      <c r="B2" s="2">
        <v>46029</v>
      </c>
      <c r="C2" t="s">
        <v>11</v>
      </c>
      <c r="D2" t="s">
        <v>12</v>
      </c>
      <c r="E2" t="s">
        <v>13</v>
      </c>
      <c r="F2" t="s">
        <v>14</v>
      </c>
      <c r="G2">
        <v>1</v>
      </c>
      <c r="H2" s="3">
        <v>1299</v>
      </c>
      <c r="I2" s="3">
        <v>1299</v>
      </c>
      <c r="J2" t="s">
        <v>15</v>
      </c>
      <c r="K2" t="str">
        <f>TEXT(B2,"mmm")</f>
        <v>Jan</v>
      </c>
      <c r="L2" s="3">
        <f>SUM(I2:I101)</f>
        <v>281893</v>
      </c>
    </row>
    <row r="3" spans="1:12" x14ac:dyDescent="0.3">
      <c r="A3" t="s">
        <v>16</v>
      </c>
      <c r="B3" s="2">
        <v>46029</v>
      </c>
      <c r="C3" t="s">
        <v>17</v>
      </c>
      <c r="D3" t="s">
        <v>12</v>
      </c>
      <c r="E3" t="s">
        <v>18</v>
      </c>
      <c r="F3" t="s">
        <v>19</v>
      </c>
      <c r="G3">
        <v>5</v>
      </c>
      <c r="H3" s="3">
        <v>799</v>
      </c>
      <c r="I3" s="3">
        <v>3995</v>
      </c>
      <c r="J3" t="s">
        <v>20</v>
      </c>
      <c r="K3" t="str">
        <f t="shared" ref="K3:K66" si="0">TEXT(B3,"mmm")</f>
        <v>Jan</v>
      </c>
      <c r="L3">
        <f>COUNTA(A2:A101)</f>
        <v>100</v>
      </c>
    </row>
    <row r="4" spans="1:12" x14ac:dyDescent="0.3">
      <c r="A4" t="s">
        <v>21</v>
      </c>
      <c r="B4" s="2">
        <v>46030</v>
      </c>
      <c r="C4" t="s">
        <v>22</v>
      </c>
      <c r="D4" t="s">
        <v>12</v>
      </c>
      <c r="E4" t="s">
        <v>23</v>
      </c>
      <c r="F4" t="s">
        <v>19</v>
      </c>
      <c r="G4">
        <v>1</v>
      </c>
      <c r="H4" s="3">
        <v>499</v>
      </c>
      <c r="I4" s="3">
        <v>499</v>
      </c>
      <c r="J4" t="s">
        <v>15</v>
      </c>
      <c r="K4" t="str">
        <f t="shared" si="0"/>
        <v>Jan</v>
      </c>
      <c r="L4">
        <f>SUM(G2:G101)</f>
        <v>307</v>
      </c>
    </row>
    <row r="5" spans="1:12" x14ac:dyDescent="0.3">
      <c r="A5" t="s">
        <v>24</v>
      </c>
      <c r="B5" s="2">
        <v>46039</v>
      </c>
      <c r="C5" t="s">
        <v>25</v>
      </c>
      <c r="D5" t="s">
        <v>26</v>
      </c>
      <c r="E5" t="s">
        <v>27</v>
      </c>
      <c r="F5" t="s">
        <v>28</v>
      </c>
      <c r="G5">
        <v>2</v>
      </c>
      <c r="H5" s="3">
        <v>1499</v>
      </c>
      <c r="I5" s="3">
        <v>2998</v>
      </c>
      <c r="J5" t="s">
        <v>20</v>
      </c>
      <c r="K5" t="str">
        <f t="shared" si="0"/>
        <v>Jan</v>
      </c>
      <c r="L5">
        <f>L2/L3</f>
        <v>2818.93</v>
      </c>
    </row>
    <row r="6" spans="1:12" x14ac:dyDescent="0.3">
      <c r="A6" t="s">
        <v>29</v>
      </c>
      <c r="B6" s="2">
        <v>46040</v>
      </c>
      <c r="C6" t="s">
        <v>11</v>
      </c>
      <c r="D6" t="s">
        <v>30</v>
      </c>
      <c r="E6" t="s">
        <v>31</v>
      </c>
      <c r="F6" t="s">
        <v>32</v>
      </c>
      <c r="G6">
        <v>3</v>
      </c>
      <c r="H6" s="3">
        <v>899</v>
      </c>
      <c r="I6" s="3">
        <v>2697</v>
      </c>
      <c r="J6" t="s">
        <v>20</v>
      </c>
      <c r="K6" t="str">
        <f t="shared" si="0"/>
        <v>Jan</v>
      </c>
    </row>
    <row r="7" spans="1:12" x14ac:dyDescent="0.3">
      <c r="A7" t="s">
        <v>33</v>
      </c>
      <c r="B7" s="2">
        <v>46043</v>
      </c>
      <c r="C7" t="s">
        <v>34</v>
      </c>
      <c r="D7" t="s">
        <v>35</v>
      </c>
      <c r="E7" t="s">
        <v>27</v>
      </c>
      <c r="F7" t="s">
        <v>28</v>
      </c>
      <c r="G7">
        <v>5</v>
      </c>
      <c r="H7" s="3">
        <v>1499</v>
      </c>
      <c r="I7" s="3">
        <v>7495</v>
      </c>
      <c r="J7" t="s">
        <v>36</v>
      </c>
      <c r="K7" t="str">
        <f t="shared" si="0"/>
        <v>Jan</v>
      </c>
    </row>
    <row r="8" spans="1:12" x14ac:dyDescent="0.3">
      <c r="A8" t="s">
        <v>37</v>
      </c>
      <c r="B8" s="2">
        <v>46043</v>
      </c>
      <c r="C8" t="s">
        <v>38</v>
      </c>
      <c r="D8" t="s">
        <v>39</v>
      </c>
      <c r="E8" t="s">
        <v>40</v>
      </c>
      <c r="F8" t="s">
        <v>28</v>
      </c>
      <c r="G8">
        <v>4</v>
      </c>
      <c r="H8" s="3">
        <v>899</v>
      </c>
      <c r="I8" s="3">
        <v>3596</v>
      </c>
      <c r="J8" t="s">
        <v>20</v>
      </c>
      <c r="K8" t="str">
        <f t="shared" si="0"/>
        <v>Jan</v>
      </c>
    </row>
    <row r="9" spans="1:12" x14ac:dyDescent="0.3">
      <c r="A9" t="s">
        <v>41</v>
      </c>
      <c r="B9" s="2">
        <v>46046</v>
      </c>
      <c r="C9" t="s">
        <v>42</v>
      </c>
      <c r="D9" t="s">
        <v>43</v>
      </c>
      <c r="E9" t="s">
        <v>31</v>
      </c>
      <c r="F9" t="s">
        <v>32</v>
      </c>
      <c r="G9">
        <v>1</v>
      </c>
      <c r="H9" s="3">
        <v>899</v>
      </c>
      <c r="I9" s="3">
        <v>899</v>
      </c>
      <c r="J9" t="s">
        <v>44</v>
      </c>
      <c r="K9" t="str">
        <f t="shared" si="0"/>
        <v>Jan</v>
      </c>
    </row>
    <row r="10" spans="1:12" x14ac:dyDescent="0.3">
      <c r="A10" t="s">
        <v>45</v>
      </c>
      <c r="B10" s="2">
        <v>46046</v>
      </c>
      <c r="C10" t="s">
        <v>46</v>
      </c>
      <c r="D10" t="s">
        <v>43</v>
      </c>
      <c r="E10" t="s">
        <v>18</v>
      </c>
      <c r="F10" t="s">
        <v>19</v>
      </c>
      <c r="G10">
        <v>4</v>
      </c>
      <c r="H10" s="3">
        <v>799</v>
      </c>
      <c r="I10" s="3">
        <v>3196</v>
      </c>
      <c r="J10" t="s">
        <v>15</v>
      </c>
      <c r="K10" t="str">
        <f t="shared" si="0"/>
        <v>Jan</v>
      </c>
    </row>
    <row r="11" spans="1:12" x14ac:dyDescent="0.3">
      <c r="A11" t="s">
        <v>47</v>
      </c>
      <c r="B11" s="2">
        <v>46054</v>
      </c>
      <c r="C11" t="s">
        <v>48</v>
      </c>
      <c r="D11" t="s">
        <v>49</v>
      </c>
      <c r="E11" t="s">
        <v>18</v>
      </c>
      <c r="F11" t="s">
        <v>19</v>
      </c>
      <c r="G11">
        <v>2</v>
      </c>
      <c r="H11" s="3">
        <v>799</v>
      </c>
      <c r="I11" s="3">
        <v>1598</v>
      </c>
      <c r="J11" t="s">
        <v>50</v>
      </c>
      <c r="K11" t="str">
        <f t="shared" si="0"/>
        <v>Feb</v>
      </c>
    </row>
    <row r="12" spans="1:12" x14ac:dyDescent="0.3">
      <c r="A12" t="s">
        <v>51</v>
      </c>
      <c r="B12" s="2">
        <v>46055</v>
      </c>
      <c r="C12" t="s">
        <v>52</v>
      </c>
      <c r="D12" t="s">
        <v>49</v>
      </c>
      <c r="E12" t="s">
        <v>18</v>
      </c>
      <c r="F12" t="s">
        <v>19</v>
      </c>
      <c r="G12">
        <v>2</v>
      </c>
      <c r="H12" s="3">
        <v>799</v>
      </c>
      <c r="I12" s="3">
        <v>1598</v>
      </c>
      <c r="J12" t="s">
        <v>44</v>
      </c>
      <c r="K12" t="str">
        <f t="shared" si="0"/>
        <v>Feb</v>
      </c>
    </row>
    <row r="13" spans="1:12" x14ac:dyDescent="0.3">
      <c r="A13" t="s">
        <v>53</v>
      </c>
      <c r="B13" s="2">
        <v>46056</v>
      </c>
      <c r="C13" t="s">
        <v>54</v>
      </c>
      <c r="D13" t="s">
        <v>49</v>
      </c>
      <c r="E13" t="s">
        <v>55</v>
      </c>
      <c r="F13" t="s">
        <v>28</v>
      </c>
      <c r="G13">
        <v>3</v>
      </c>
      <c r="H13" s="3">
        <v>599</v>
      </c>
      <c r="I13" s="3">
        <v>1797</v>
      </c>
      <c r="J13" t="s">
        <v>50</v>
      </c>
      <c r="K13" t="str">
        <f t="shared" si="0"/>
        <v>Feb</v>
      </c>
    </row>
    <row r="14" spans="1:12" x14ac:dyDescent="0.3">
      <c r="A14" t="s">
        <v>56</v>
      </c>
      <c r="B14" s="2">
        <v>46057</v>
      </c>
      <c r="C14" t="s">
        <v>54</v>
      </c>
      <c r="D14" t="s">
        <v>43</v>
      </c>
      <c r="E14" t="s">
        <v>57</v>
      </c>
      <c r="F14" t="s">
        <v>32</v>
      </c>
      <c r="G14">
        <v>1</v>
      </c>
      <c r="H14" s="3">
        <v>199</v>
      </c>
      <c r="I14" s="3">
        <v>199</v>
      </c>
      <c r="J14" t="s">
        <v>36</v>
      </c>
      <c r="K14" t="str">
        <f t="shared" si="0"/>
        <v>Feb</v>
      </c>
    </row>
    <row r="15" spans="1:12" x14ac:dyDescent="0.3">
      <c r="A15" t="s">
        <v>58</v>
      </c>
      <c r="B15" s="2">
        <v>46058</v>
      </c>
      <c r="C15" t="s">
        <v>59</v>
      </c>
      <c r="D15" t="s">
        <v>12</v>
      </c>
      <c r="E15" t="s">
        <v>18</v>
      </c>
      <c r="F15" t="s">
        <v>19</v>
      </c>
      <c r="G15">
        <v>1</v>
      </c>
      <c r="H15" s="3">
        <v>799</v>
      </c>
      <c r="I15" s="3">
        <v>799</v>
      </c>
      <c r="J15" t="s">
        <v>50</v>
      </c>
      <c r="K15" t="str">
        <f t="shared" si="0"/>
        <v>Feb</v>
      </c>
    </row>
    <row r="16" spans="1:12" x14ac:dyDescent="0.3">
      <c r="A16" t="s">
        <v>60</v>
      </c>
      <c r="B16" s="2">
        <v>46058</v>
      </c>
      <c r="C16" t="s">
        <v>61</v>
      </c>
      <c r="D16" t="s">
        <v>39</v>
      </c>
      <c r="E16" t="s">
        <v>62</v>
      </c>
      <c r="F16" t="s">
        <v>28</v>
      </c>
      <c r="G16">
        <v>3</v>
      </c>
      <c r="H16" s="3">
        <v>399</v>
      </c>
      <c r="I16" s="3">
        <v>1197</v>
      </c>
      <c r="J16" t="s">
        <v>20</v>
      </c>
      <c r="K16" t="str">
        <f t="shared" si="0"/>
        <v>Feb</v>
      </c>
    </row>
    <row r="17" spans="1:11" x14ac:dyDescent="0.3">
      <c r="A17" t="s">
        <v>63</v>
      </c>
      <c r="B17" s="2">
        <v>46062</v>
      </c>
      <c r="C17" t="s">
        <v>64</v>
      </c>
      <c r="D17" t="s">
        <v>39</v>
      </c>
      <c r="E17" t="s">
        <v>65</v>
      </c>
      <c r="F17" t="s">
        <v>14</v>
      </c>
      <c r="G17">
        <v>5</v>
      </c>
      <c r="H17" s="3">
        <v>1999</v>
      </c>
      <c r="I17" s="3">
        <v>9995</v>
      </c>
      <c r="J17" t="s">
        <v>20</v>
      </c>
      <c r="K17" t="str">
        <f t="shared" si="0"/>
        <v>Feb</v>
      </c>
    </row>
    <row r="18" spans="1:11" x14ac:dyDescent="0.3">
      <c r="A18" t="s">
        <v>66</v>
      </c>
      <c r="B18" s="2">
        <v>46064</v>
      </c>
      <c r="C18" t="s">
        <v>67</v>
      </c>
      <c r="D18" t="s">
        <v>30</v>
      </c>
      <c r="E18" t="s">
        <v>68</v>
      </c>
      <c r="F18" t="s">
        <v>19</v>
      </c>
      <c r="G18">
        <v>3</v>
      </c>
      <c r="H18" s="3">
        <v>299</v>
      </c>
      <c r="I18" s="3">
        <v>897</v>
      </c>
      <c r="J18" t="s">
        <v>15</v>
      </c>
      <c r="K18" t="str">
        <f t="shared" si="0"/>
        <v>Feb</v>
      </c>
    </row>
    <row r="19" spans="1:11" x14ac:dyDescent="0.3">
      <c r="A19" t="s">
        <v>69</v>
      </c>
      <c r="B19" s="2">
        <v>46064</v>
      </c>
      <c r="C19" t="s">
        <v>70</v>
      </c>
      <c r="D19" t="s">
        <v>71</v>
      </c>
      <c r="E19" t="s">
        <v>65</v>
      </c>
      <c r="F19" t="s">
        <v>14</v>
      </c>
      <c r="G19">
        <v>2</v>
      </c>
      <c r="H19" s="3">
        <v>1999</v>
      </c>
      <c r="I19" s="3">
        <v>3998</v>
      </c>
      <c r="J19" t="s">
        <v>44</v>
      </c>
      <c r="K19" t="str">
        <f t="shared" si="0"/>
        <v>Feb</v>
      </c>
    </row>
    <row r="20" spans="1:11" x14ac:dyDescent="0.3">
      <c r="A20" t="s">
        <v>72</v>
      </c>
      <c r="B20" s="2">
        <v>46065</v>
      </c>
      <c r="C20" t="s">
        <v>42</v>
      </c>
      <c r="D20" t="s">
        <v>26</v>
      </c>
      <c r="E20" t="s">
        <v>23</v>
      </c>
      <c r="F20" t="s">
        <v>19</v>
      </c>
      <c r="G20">
        <v>1</v>
      </c>
      <c r="H20" s="3">
        <v>499</v>
      </c>
      <c r="I20" s="3">
        <v>499</v>
      </c>
      <c r="J20" t="s">
        <v>50</v>
      </c>
      <c r="K20" t="str">
        <f t="shared" si="0"/>
        <v>Feb</v>
      </c>
    </row>
    <row r="21" spans="1:11" x14ac:dyDescent="0.3">
      <c r="A21" t="s">
        <v>73</v>
      </c>
      <c r="B21" s="2">
        <v>46070</v>
      </c>
      <c r="C21" t="s">
        <v>74</v>
      </c>
      <c r="D21" t="s">
        <v>43</v>
      </c>
      <c r="E21" t="s">
        <v>18</v>
      </c>
      <c r="F21" t="s">
        <v>19</v>
      </c>
      <c r="G21">
        <v>1</v>
      </c>
      <c r="H21" s="3">
        <v>799</v>
      </c>
      <c r="I21" s="3">
        <v>799</v>
      </c>
      <c r="J21" t="s">
        <v>15</v>
      </c>
      <c r="K21" t="str">
        <f t="shared" si="0"/>
        <v>Feb</v>
      </c>
    </row>
    <row r="22" spans="1:11" x14ac:dyDescent="0.3">
      <c r="A22" t="s">
        <v>75</v>
      </c>
      <c r="B22" s="2">
        <v>46071</v>
      </c>
      <c r="C22" t="s">
        <v>76</v>
      </c>
      <c r="D22" t="s">
        <v>43</v>
      </c>
      <c r="E22" t="s">
        <v>68</v>
      </c>
      <c r="F22" t="s">
        <v>19</v>
      </c>
      <c r="G22">
        <v>4</v>
      </c>
      <c r="H22" s="3">
        <v>299</v>
      </c>
      <c r="I22" s="3">
        <v>1196</v>
      </c>
      <c r="J22" t="s">
        <v>50</v>
      </c>
      <c r="K22" t="str">
        <f t="shared" si="0"/>
        <v>Feb</v>
      </c>
    </row>
    <row r="23" spans="1:11" x14ac:dyDescent="0.3">
      <c r="A23" t="s">
        <v>77</v>
      </c>
      <c r="B23" s="2">
        <v>46072</v>
      </c>
      <c r="C23" t="s">
        <v>74</v>
      </c>
      <c r="D23" t="s">
        <v>26</v>
      </c>
      <c r="E23" t="s">
        <v>31</v>
      </c>
      <c r="F23" t="s">
        <v>32</v>
      </c>
      <c r="G23">
        <v>5</v>
      </c>
      <c r="H23" s="3">
        <v>899</v>
      </c>
      <c r="I23" s="3">
        <v>4495</v>
      </c>
      <c r="J23" t="s">
        <v>15</v>
      </c>
      <c r="K23" t="str">
        <f t="shared" si="0"/>
        <v>Feb</v>
      </c>
    </row>
    <row r="24" spans="1:11" x14ac:dyDescent="0.3">
      <c r="A24" t="s">
        <v>78</v>
      </c>
      <c r="B24" s="2">
        <v>46072</v>
      </c>
      <c r="C24" t="s">
        <v>79</v>
      </c>
      <c r="D24" t="s">
        <v>35</v>
      </c>
      <c r="E24" t="s">
        <v>23</v>
      </c>
      <c r="F24" t="s">
        <v>19</v>
      </c>
      <c r="G24">
        <v>5</v>
      </c>
      <c r="H24" s="3">
        <v>499</v>
      </c>
      <c r="I24" s="3">
        <v>2495</v>
      </c>
      <c r="J24" t="s">
        <v>50</v>
      </c>
      <c r="K24" t="str">
        <f t="shared" si="0"/>
        <v>Feb</v>
      </c>
    </row>
    <row r="25" spans="1:11" x14ac:dyDescent="0.3">
      <c r="A25" t="s">
        <v>80</v>
      </c>
      <c r="B25" s="2">
        <v>46075</v>
      </c>
      <c r="C25" t="s">
        <v>54</v>
      </c>
      <c r="D25" t="s">
        <v>35</v>
      </c>
      <c r="E25" t="s">
        <v>27</v>
      </c>
      <c r="F25" t="s">
        <v>28</v>
      </c>
      <c r="G25">
        <v>3</v>
      </c>
      <c r="H25" s="3">
        <v>1499</v>
      </c>
      <c r="I25" s="3">
        <v>4497</v>
      </c>
      <c r="J25" t="s">
        <v>44</v>
      </c>
      <c r="K25" t="str">
        <f t="shared" si="0"/>
        <v>Feb</v>
      </c>
    </row>
    <row r="26" spans="1:11" x14ac:dyDescent="0.3">
      <c r="A26" t="s">
        <v>81</v>
      </c>
      <c r="B26" s="2">
        <v>46077</v>
      </c>
      <c r="C26" t="s">
        <v>82</v>
      </c>
      <c r="D26" t="s">
        <v>71</v>
      </c>
      <c r="E26" t="s">
        <v>83</v>
      </c>
      <c r="F26" t="s">
        <v>14</v>
      </c>
      <c r="G26">
        <v>3</v>
      </c>
      <c r="H26" s="3">
        <v>699</v>
      </c>
      <c r="I26" s="3">
        <v>2097</v>
      </c>
      <c r="J26" t="s">
        <v>50</v>
      </c>
      <c r="K26" t="str">
        <f t="shared" si="0"/>
        <v>Feb</v>
      </c>
    </row>
    <row r="27" spans="1:11" x14ac:dyDescent="0.3">
      <c r="A27" t="s">
        <v>84</v>
      </c>
      <c r="B27" s="2">
        <v>46078</v>
      </c>
      <c r="C27" t="s">
        <v>85</v>
      </c>
      <c r="D27" t="s">
        <v>26</v>
      </c>
      <c r="E27" t="s">
        <v>27</v>
      </c>
      <c r="F27" t="s">
        <v>28</v>
      </c>
      <c r="G27">
        <v>3</v>
      </c>
      <c r="H27" s="3">
        <v>1499</v>
      </c>
      <c r="I27" s="3">
        <v>4497</v>
      </c>
      <c r="J27" t="s">
        <v>44</v>
      </c>
      <c r="K27" t="str">
        <f t="shared" si="0"/>
        <v>Feb</v>
      </c>
    </row>
    <row r="28" spans="1:11" x14ac:dyDescent="0.3">
      <c r="A28" t="s">
        <v>86</v>
      </c>
      <c r="B28" s="2">
        <v>46079</v>
      </c>
      <c r="C28" t="s">
        <v>87</v>
      </c>
      <c r="D28" t="s">
        <v>26</v>
      </c>
      <c r="E28" t="s">
        <v>13</v>
      </c>
      <c r="F28" t="s">
        <v>14</v>
      </c>
      <c r="G28">
        <v>5</v>
      </c>
      <c r="H28" s="3">
        <v>1299</v>
      </c>
      <c r="I28" s="3">
        <v>6495</v>
      </c>
      <c r="J28" t="s">
        <v>15</v>
      </c>
      <c r="K28" t="str">
        <f t="shared" si="0"/>
        <v>Feb</v>
      </c>
    </row>
    <row r="29" spans="1:11" x14ac:dyDescent="0.3">
      <c r="A29" t="s">
        <v>88</v>
      </c>
      <c r="B29" s="2">
        <v>46079</v>
      </c>
      <c r="C29" t="s">
        <v>89</v>
      </c>
      <c r="D29" t="s">
        <v>35</v>
      </c>
      <c r="E29" t="s">
        <v>55</v>
      </c>
      <c r="F29" t="s">
        <v>28</v>
      </c>
      <c r="G29">
        <v>4</v>
      </c>
      <c r="H29" s="3">
        <v>599</v>
      </c>
      <c r="I29" s="3">
        <v>2396</v>
      </c>
      <c r="J29" t="s">
        <v>44</v>
      </c>
      <c r="K29" t="str">
        <f t="shared" si="0"/>
        <v>Feb</v>
      </c>
    </row>
    <row r="30" spans="1:11" x14ac:dyDescent="0.3">
      <c r="A30" t="s">
        <v>90</v>
      </c>
      <c r="B30" s="2">
        <v>46080</v>
      </c>
      <c r="C30" t="s">
        <v>91</v>
      </c>
      <c r="D30" t="s">
        <v>12</v>
      </c>
      <c r="E30" t="s">
        <v>57</v>
      </c>
      <c r="F30" t="s">
        <v>32</v>
      </c>
      <c r="G30">
        <v>2</v>
      </c>
      <c r="H30" s="3">
        <v>199</v>
      </c>
      <c r="I30" s="3">
        <v>398</v>
      </c>
      <c r="J30" t="s">
        <v>50</v>
      </c>
      <c r="K30" t="str">
        <f t="shared" si="0"/>
        <v>Feb</v>
      </c>
    </row>
    <row r="31" spans="1:11" x14ac:dyDescent="0.3">
      <c r="A31" t="s">
        <v>92</v>
      </c>
      <c r="B31" s="2">
        <v>46080</v>
      </c>
      <c r="C31" t="s">
        <v>89</v>
      </c>
      <c r="D31" t="s">
        <v>49</v>
      </c>
      <c r="E31" t="s">
        <v>27</v>
      </c>
      <c r="F31" t="s">
        <v>28</v>
      </c>
      <c r="G31">
        <v>3</v>
      </c>
      <c r="H31" s="3">
        <v>1499</v>
      </c>
      <c r="I31" s="3">
        <v>4497</v>
      </c>
      <c r="J31" t="s">
        <v>36</v>
      </c>
      <c r="K31" t="str">
        <f t="shared" si="0"/>
        <v>Feb</v>
      </c>
    </row>
    <row r="32" spans="1:11" x14ac:dyDescent="0.3">
      <c r="A32" t="s">
        <v>93</v>
      </c>
      <c r="B32" s="2">
        <v>46081</v>
      </c>
      <c r="C32" t="s">
        <v>74</v>
      </c>
      <c r="D32" t="s">
        <v>26</v>
      </c>
      <c r="E32" t="s">
        <v>65</v>
      </c>
      <c r="F32" t="s">
        <v>14</v>
      </c>
      <c r="G32">
        <v>1</v>
      </c>
      <c r="H32" s="3">
        <v>1999</v>
      </c>
      <c r="I32" s="3">
        <v>1999</v>
      </c>
      <c r="J32" t="s">
        <v>44</v>
      </c>
      <c r="K32" t="str">
        <f t="shared" si="0"/>
        <v>Feb</v>
      </c>
    </row>
    <row r="33" spans="1:11" x14ac:dyDescent="0.3">
      <c r="A33" t="s">
        <v>94</v>
      </c>
      <c r="B33" s="2">
        <v>46082</v>
      </c>
      <c r="C33" t="s">
        <v>76</v>
      </c>
      <c r="D33" t="s">
        <v>71</v>
      </c>
      <c r="E33" t="s">
        <v>57</v>
      </c>
      <c r="F33" t="s">
        <v>32</v>
      </c>
      <c r="G33">
        <v>1</v>
      </c>
      <c r="H33" s="3">
        <v>199</v>
      </c>
      <c r="I33" s="3">
        <v>199</v>
      </c>
      <c r="J33" t="s">
        <v>44</v>
      </c>
      <c r="K33" t="str">
        <f t="shared" si="0"/>
        <v>Mar</v>
      </c>
    </row>
    <row r="34" spans="1:11" x14ac:dyDescent="0.3">
      <c r="A34" t="s">
        <v>95</v>
      </c>
      <c r="B34" s="2">
        <v>46083</v>
      </c>
      <c r="C34" t="s">
        <v>64</v>
      </c>
      <c r="D34" t="s">
        <v>30</v>
      </c>
      <c r="E34" t="s">
        <v>40</v>
      </c>
      <c r="F34" t="s">
        <v>28</v>
      </c>
      <c r="G34">
        <v>3</v>
      </c>
      <c r="H34" s="3">
        <v>899</v>
      </c>
      <c r="I34" s="3">
        <v>2697</v>
      </c>
      <c r="J34" t="s">
        <v>44</v>
      </c>
      <c r="K34" t="str">
        <f t="shared" si="0"/>
        <v>Mar</v>
      </c>
    </row>
    <row r="35" spans="1:11" x14ac:dyDescent="0.3">
      <c r="A35" t="s">
        <v>96</v>
      </c>
      <c r="B35" s="2">
        <v>46083</v>
      </c>
      <c r="C35" t="s">
        <v>11</v>
      </c>
      <c r="D35" t="s">
        <v>35</v>
      </c>
      <c r="E35" t="s">
        <v>40</v>
      </c>
      <c r="F35" t="s">
        <v>28</v>
      </c>
      <c r="G35">
        <v>5</v>
      </c>
      <c r="H35" s="3">
        <v>899</v>
      </c>
      <c r="I35" s="3">
        <v>4495</v>
      </c>
      <c r="J35" t="s">
        <v>15</v>
      </c>
      <c r="K35" t="str">
        <f t="shared" si="0"/>
        <v>Mar</v>
      </c>
    </row>
    <row r="36" spans="1:11" x14ac:dyDescent="0.3">
      <c r="A36" t="s">
        <v>97</v>
      </c>
      <c r="B36" s="2">
        <v>46084</v>
      </c>
      <c r="C36" t="s">
        <v>54</v>
      </c>
      <c r="D36" t="s">
        <v>71</v>
      </c>
      <c r="E36" t="s">
        <v>27</v>
      </c>
      <c r="F36" t="s">
        <v>28</v>
      </c>
      <c r="G36">
        <v>3</v>
      </c>
      <c r="H36" s="3">
        <v>1499</v>
      </c>
      <c r="I36" s="3">
        <v>4497</v>
      </c>
      <c r="J36" t="s">
        <v>15</v>
      </c>
      <c r="K36" t="str">
        <f t="shared" si="0"/>
        <v>Mar</v>
      </c>
    </row>
    <row r="37" spans="1:11" x14ac:dyDescent="0.3">
      <c r="A37" t="s">
        <v>98</v>
      </c>
      <c r="B37" s="2">
        <v>46086</v>
      </c>
      <c r="C37" t="s">
        <v>99</v>
      </c>
      <c r="D37" t="s">
        <v>35</v>
      </c>
      <c r="E37" t="s">
        <v>57</v>
      </c>
      <c r="F37" t="s">
        <v>32</v>
      </c>
      <c r="G37">
        <v>4</v>
      </c>
      <c r="H37" s="3">
        <v>199</v>
      </c>
      <c r="I37" s="3">
        <v>796</v>
      </c>
      <c r="J37" t="s">
        <v>20</v>
      </c>
      <c r="K37" t="str">
        <f t="shared" si="0"/>
        <v>Mar</v>
      </c>
    </row>
    <row r="38" spans="1:11" x14ac:dyDescent="0.3">
      <c r="A38" t="s">
        <v>100</v>
      </c>
      <c r="B38" s="2">
        <v>46088</v>
      </c>
      <c r="C38" t="s">
        <v>101</v>
      </c>
      <c r="D38" t="s">
        <v>71</v>
      </c>
      <c r="E38" t="s">
        <v>83</v>
      </c>
      <c r="F38" t="s">
        <v>14</v>
      </c>
      <c r="G38">
        <v>2</v>
      </c>
      <c r="H38" s="3">
        <v>699</v>
      </c>
      <c r="I38" s="3">
        <v>1398</v>
      </c>
      <c r="J38" t="s">
        <v>36</v>
      </c>
      <c r="K38" t="str">
        <f t="shared" si="0"/>
        <v>Mar</v>
      </c>
    </row>
    <row r="39" spans="1:11" x14ac:dyDescent="0.3">
      <c r="A39" t="s">
        <v>102</v>
      </c>
      <c r="B39" s="2">
        <v>46090</v>
      </c>
      <c r="C39" t="s">
        <v>103</v>
      </c>
      <c r="D39" t="s">
        <v>43</v>
      </c>
      <c r="E39" t="s">
        <v>62</v>
      </c>
      <c r="F39" t="s">
        <v>28</v>
      </c>
      <c r="G39">
        <v>5</v>
      </c>
      <c r="H39" s="3">
        <v>399</v>
      </c>
      <c r="I39" s="3">
        <v>1995</v>
      </c>
      <c r="J39" t="s">
        <v>20</v>
      </c>
      <c r="K39" t="str">
        <f t="shared" si="0"/>
        <v>Mar</v>
      </c>
    </row>
    <row r="40" spans="1:11" x14ac:dyDescent="0.3">
      <c r="A40" t="s">
        <v>104</v>
      </c>
      <c r="B40" s="2">
        <v>46090</v>
      </c>
      <c r="C40" t="s">
        <v>101</v>
      </c>
      <c r="D40" t="s">
        <v>35</v>
      </c>
      <c r="E40" t="s">
        <v>31</v>
      </c>
      <c r="F40" t="s">
        <v>32</v>
      </c>
      <c r="G40">
        <v>5</v>
      </c>
      <c r="H40" s="3">
        <v>899</v>
      </c>
      <c r="I40" s="3">
        <v>4495</v>
      </c>
      <c r="J40" t="s">
        <v>20</v>
      </c>
      <c r="K40" t="str">
        <f t="shared" si="0"/>
        <v>Mar</v>
      </c>
    </row>
    <row r="41" spans="1:11" x14ac:dyDescent="0.3">
      <c r="A41" t="s">
        <v>105</v>
      </c>
      <c r="B41" s="2">
        <v>46090</v>
      </c>
      <c r="C41" t="s">
        <v>106</v>
      </c>
      <c r="D41" t="s">
        <v>30</v>
      </c>
      <c r="E41" t="s">
        <v>27</v>
      </c>
      <c r="F41" t="s">
        <v>28</v>
      </c>
      <c r="G41">
        <v>5</v>
      </c>
      <c r="H41" s="3">
        <v>1499</v>
      </c>
      <c r="I41" s="3">
        <v>7495</v>
      </c>
      <c r="J41" t="s">
        <v>36</v>
      </c>
      <c r="K41" t="str">
        <f t="shared" si="0"/>
        <v>Mar</v>
      </c>
    </row>
    <row r="42" spans="1:11" x14ac:dyDescent="0.3">
      <c r="A42" t="s">
        <v>107</v>
      </c>
      <c r="B42" s="2">
        <v>46091</v>
      </c>
      <c r="C42" t="s">
        <v>108</v>
      </c>
      <c r="D42" t="s">
        <v>43</v>
      </c>
      <c r="E42" t="s">
        <v>23</v>
      </c>
      <c r="F42" t="s">
        <v>19</v>
      </c>
      <c r="G42">
        <v>2</v>
      </c>
      <c r="H42" s="3">
        <v>499</v>
      </c>
      <c r="I42" s="3">
        <v>998</v>
      </c>
      <c r="J42" t="s">
        <v>50</v>
      </c>
      <c r="K42" t="str">
        <f t="shared" si="0"/>
        <v>Mar</v>
      </c>
    </row>
    <row r="43" spans="1:11" x14ac:dyDescent="0.3">
      <c r="A43" t="s">
        <v>109</v>
      </c>
      <c r="B43" s="2">
        <v>46095</v>
      </c>
      <c r="C43" t="s">
        <v>108</v>
      </c>
      <c r="D43" t="s">
        <v>35</v>
      </c>
      <c r="E43" t="s">
        <v>27</v>
      </c>
      <c r="F43" t="s">
        <v>28</v>
      </c>
      <c r="G43">
        <v>3</v>
      </c>
      <c r="H43" s="3">
        <v>1499</v>
      </c>
      <c r="I43" s="3">
        <v>4497</v>
      </c>
      <c r="J43" t="s">
        <v>20</v>
      </c>
      <c r="K43" t="str">
        <f t="shared" si="0"/>
        <v>Mar</v>
      </c>
    </row>
    <row r="44" spans="1:11" x14ac:dyDescent="0.3">
      <c r="A44" t="s">
        <v>110</v>
      </c>
      <c r="B44" s="2">
        <v>46096</v>
      </c>
      <c r="C44" t="s">
        <v>111</v>
      </c>
      <c r="D44" t="s">
        <v>35</v>
      </c>
      <c r="E44" t="s">
        <v>57</v>
      </c>
      <c r="F44" t="s">
        <v>32</v>
      </c>
      <c r="G44">
        <v>4</v>
      </c>
      <c r="H44" s="3">
        <v>199</v>
      </c>
      <c r="I44" s="3">
        <v>796</v>
      </c>
      <c r="J44" t="s">
        <v>15</v>
      </c>
      <c r="K44" t="str">
        <f t="shared" si="0"/>
        <v>Mar</v>
      </c>
    </row>
    <row r="45" spans="1:11" x14ac:dyDescent="0.3">
      <c r="A45" t="s">
        <v>112</v>
      </c>
      <c r="B45" s="2">
        <v>46100</v>
      </c>
      <c r="C45" t="s">
        <v>113</v>
      </c>
      <c r="D45" t="s">
        <v>12</v>
      </c>
      <c r="E45" t="s">
        <v>18</v>
      </c>
      <c r="F45" t="s">
        <v>19</v>
      </c>
      <c r="G45">
        <v>1</v>
      </c>
      <c r="H45" s="3">
        <v>799</v>
      </c>
      <c r="I45" s="3">
        <v>799</v>
      </c>
      <c r="J45" t="s">
        <v>50</v>
      </c>
      <c r="K45" t="str">
        <f t="shared" si="0"/>
        <v>Mar</v>
      </c>
    </row>
    <row r="46" spans="1:11" x14ac:dyDescent="0.3">
      <c r="A46" t="s">
        <v>114</v>
      </c>
      <c r="B46" s="2">
        <v>46103</v>
      </c>
      <c r="C46" t="s">
        <v>115</v>
      </c>
      <c r="D46" t="s">
        <v>43</v>
      </c>
      <c r="E46" t="s">
        <v>23</v>
      </c>
      <c r="F46" t="s">
        <v>19</v>
      </c>
      <c r="G46">
        <v>3</v>
      </c>
      <c r="H46" s="3">
        <v>499</v>
      </c>
      <c r="I46" s="3">
        <v>1497</v>
      </c>
      <c r="J46" t="s">
        <v>50</v>
      </c>
      <c r="K46" t="str">
        <f t="shared" si="0"/>
        <v>Mar</v>
      </c>
    </row>
    <row r="47" spans="1:11" x14ac:dyDescent="0.3">
      <c r="A47" t="s">
        <v>116</v>
      </c>
      <c r="B47" s="2">
        <v>46107</v>
      </c>
      <c r="C47" t="s">
        <v>91</v>
      </c>
      <c r="D47" t="s">
        <v>43</v>
      </c>
      <c r="E47" t="s">
        <v>23</v>
      </c>
      <c r="F47" t="s">
        <v>19</v>
      </c>
      <c r="G47">
        <v>5</v>
      </c>
      <c r="H47" s="3">
        <v>499</v>
      </c>
      <c r="I47" s="3">
        <v>2495</v>
      </c>
      <c r="J47" t="s">
        <v>44</v>
      </c>
      <c r="K47" t="str">
        <f t="shared" si="0"/>
        <v>Mar</v>
      </c>
    </row>
    <row r="48" spans="1:11" x14ac:dyDescent="0.3">
      <c r="A48" t="s">
        <v>117</v>
      </c>
      <c r="B48" s="2">
        <v>46109</v>
      </c>
      <c r="C48" t="s">
        <v>118</v>
      </c>
      <c r="D48" t="s">
        <v>12</v>
      </c>
      <c r="E48" t="s">
        <v>55</v>
      </c>
      <c r="F48" t="s">
        <v>28</v>
      </c>
      <c r="G48">
        <v>4</v>
      </c>
      <c r="H48" s="3">
        <v>599</v>
      </c>
      <c r="I48" s="3">
        <v>2396</v>
      </c>
      <c r="J48" t="s">
        <v>15</v>
      </c>
      <c r="K48" t="str">
        <f t="shared" si="0"/>
        <v>Mar</v>
      </c>
    </row>
    <row r="49" spans="1:11" x14ac:dyDescent="0.3">
      <c r="A49" t="s">
        <v>119</v>
      </c>
      <c r="B49" s="2">
        <v>46110</v>
      </c>
      <c r="C49" t="s">
        <v>11</v>
      </c>
      <c r="D49" t="s">
        <v>49</v>
      </c>
      <c r="E49" t="s">
        <v>62</v>
      </c>
      <c r="F49" t="s">
        <v>28</v>
      </c>
      <c r="G49">
        <v>4</v>
      </c>
      <c r="H49" s="3">
        <v>399</v>
      </c>
      <c r="I49" s="3">
        <v>1596</v>
      </c>
      <c r="J49" t="s">
        <v>15</v>
      </c>
      <c r="K49" t="str">
        <f t="shared" si="0"/>
        <v>Mar</v>
      </c>
    </row>
    <row r="50" spans="1:11" x14ac:dyDescent="0.3">
      <c r="A50" t="s">
        <v>120</v>
      </c>
      <c r="B50" s="2">
        <v>46114</v>
      </c>
      <c r="C50" t="s">
        <v>121</v>
      </c>
      <c r="D50" t="s">
        <v>12</v>
      </c>
      <c r="E50" t="s">
        <v>31</v>
      </c>
      <c r="F50" t="s">
        <v>32</v>
      </c>
      <c r="G50">
        <v>1</v>
      </c>
      <c r="H50" s="3">
        <v>899</v>
      </c>
      <c r="I50" s="3">
        <v>899</v>
      </c>
      <c r="J50" t="s">
        <v>36</v>
      </c>
      <c r="K50" t="str">
        <f t="shared" si="0"/>
        <v>Apr</v>
      </c>
    </row>
    <row r="51" spans="1:11" x14ac:dyDescent="0.3">
      <c r="A51" t="s">
        <v>122</v>
      </c>
      <c r="B51" s="2">
        <v>46115</v>
      </c>
      <c r="C51" t="s">
        <v>123</v>
      </c>
      <c r="D51" t="s">
        <v>12</v>
      </c>
      <c r="E51" t="s">
        <v>55</v>
      </c>
      <c r="F51" t="s">
        <v>28</v>
      </c>
      <c r="G51">
        <v>1</v>
      </c>
      <c r="H51" s="3">
        <v>599</v>
      </c>
      <c r="I51" s="3">
        <v>599</v>
      </c>
      <c r="J51" t="s">
        <v>36</v>
      </c>
      <c r="K51" t="str">
        <f t="shared" si="0"/>
        <v>Apr</v>
      </c>
    </row>
    <row r="52" spans="1:11" x14ac:dyDescent="0.3">
      <c r="A52" t="s">
        <v>124</v>
      </c>
      <c r="B52" s="2">
        <v>46122</v>
      </c>
      <c r="C52" t="s">
        <v>125</v>
      </c>
      <c r="D52" t="s">
        <v>26</v>
      </c>
      <c r="E52" t="s">
        <v>27</v>
      </c>
      <c r="F52" t="s">
        <v>28</v>
      </c>
      <c r="G52">
        <v>4</v>
      </c>
      <c r="H52" s="3">
        <v>1499</v>
      </c>
      <c r="I52" s="3">
        <v>5996</v>
      </c>
      <c r="J52" t="s">
        <v>20</v>
      </c>
      <c r="K52" t="str">
        <f t="shared" si="0"/>
        <v>Apr</v>
      </c>
    </row>
    <row r="53" spans="1:11" x14ac:dyDescent="0.3">
      <c r="A53" t="s">
        <v>126</v>
      </c>
      <c r="B53" s="2">
        <v>46125</v>
      </c>
      <c r="C53" t="s">
        <v>64</v>
      </c>
      <c r="D53" t="s">
        <v>43</v>
      </c>
      <c r="E53" t="s">
        <v>55</v>
      </c>
      <c r="F53" t="s">
        <v>28</v>
      </c>
      <c r="G53">
        <v>3</v>
      </c>
      <c r="H53" s="3">
        <v>599</v>
      </c>
      <c r="I53" s="3">
        <v>1797</v>
      </c>
      <c r="J53" t="s">
        <v>15</v>
      </c>
      <c r="K53" t="str">
        <f t="shared" si="0"/>
        <v>Apr</v>
      </c>
    </row>
    <row r="54" spans="1:11" x14ac:dyDescent="0.3">
      <c r="A54" t="s">
        <v>127</v>
      </c>
      <c r="B54" s="2">
        <v>46125</v>
      </c>
      <c r="C54" t="s">
        <v>128</v>
      </c>
      <c r="D54" t="s">
        <v>12</v>
      </c>
      <c r="E54" t="s">
        <v>23</v>
      </c>
      <c r="F54" t="s">
        <v>19</v>
      </c>
      <c r="G54">
        <v>5</v>
      </c>
      <c r="H54" s="3">
        <v>499</v>
      </c>
      <c r="I54" s="3">
        <v>2495</v>
      </c>
      <c r="J54" t="s">
        <v>15</v>
      </c>
      <c r="K54" t="str">
        <f t="shared" si="0"/>
        <v>Apr</v>
      </c>
    </row>
    <row r="55" spans="1:11" x14ac:dyDescent="0.3">
      <c r="A55" t="s">
        <v>129</v>
      </c>
      <c r="B55" s="2">
        <v>46127</v>
      </c>
      <c r="C55" t="s">
        <v>130</v>
      </c>
      <c r="D55" t="s">
        <v>35</v>
      </c>
      <c r="E55" t="s">
        <v>27</v>
      </c>
      <c r="F55" t="s">
        <v>28</v>
      </c>
      <c r="G55">
        <v>2</v>
      </c>
      <c r="H55" s="3">
        <v>1499</v>
      </c>
      <c r="I55" s="3">
        <v>2998</v>
      </c>
      <c r="J55" t="s">
        <v>15</v>
      </c>
      <c r="K55" t="str">
        <f t="shared" si="0"/>
        <v>Apr</v>
      </c>
    </row>
    <row r="56" spans="1:11" x14ac:dyDescent="0.3">
      <c r="A56" t="s">
        <v>131</v>
      </c>
      <c r="B56" s="2">
        <v>46127</v>
      </c>
      <c r="C56" t="s">
        <v>132</v>
      </c>
      <c r="D56" t="s">
        <v>49</v>
      </c>
      <c r="E56" t="s">
        <v>31</v>
      </c>
      <c r="F56" t="s">
        <v>32</v>
      </c>
      <c r="G56">
        <v>5</v>
      </c>
      <c r="H56" s="3">
        <v>899</v>
      </c>
      <c r="I56" s="3">
        <v>4495</v>
      </c>
      <c r="J56" t="s">
        <v>15</v>
      </c>
      <c r="K56" t="str">
        <f t="shared" si="0"/>
        <v>Apr</v>
      </c>
    </row>
    <row r="57" spans="1:11" x14ac:dyDescent="0.3">
      <c r="A57" t="s">
        <v>133</v>
      </c>
      <c r="B57" s="2">
        <v>46128</v>
      </c>
      <c r="C57" t="s">
        <v>70</v>
      </c>
      <c r="D57" t="s">
        <v>26</v>
      </c>
      <c r="E57" t="s">
        <v>31</v>
      </c>
      <c r="F57" t="s">
        <v>32</v>
      </c>
      <c r="G57">
        <v>4</v>
      </c>
      <c r="H57" s="3">
        <v>899</v>
      </c>
      <c r="I57" s="3">
        <v>3596</v>
      </c>
      <c r="J57" t="s">
        <v>36</v>
      </c>
      <c r="K57" t="str">
        <f t="shared" si="0"/>
        <v>Apr</v>
      </c>
    </row>
    <row r="58" spans="1:11" x14ac:dyDescent="0.3">
      <c r="A58" t="s">
        <v>134</v>
      </c>
      <c r="B58" s="2">
        <v>46128</v>
      </c>
      <c r="C58" t="s">
        <v>91</v>
      </c>
      <c r="D58" t="s">
        <v>49</v>
      </c>
      <c r="E58" t="s">
        <v>62</v>
      </c>
      <c r="F58" t="s">
        <v>28</v>
      </c>
      <c r="G58">
        <v>2</v>
      </c>
      <c r="H58" s="3">
        <v>399</v>
      </c>
      <c r="I58" s="3">
        <v>798</v>
      </c>
      <c r="J58" t="s">
        <v>44</v>
      </c>
      <c r="K58" t="str">
        <f t="shared" si="0"/>
        <v>Apr</v>
      </c>
    </row>
    <row r="59" spans="1:11" x14ac:dyDescent="0.3">
      <c r="A59" t="s">
        <v>135</v>
      </c>
      <c r="B59" s="2">
        <v>46131</v>
      </c>
      <c r="C59" t="s">
        <v>136</v>
      </c>
      <c r="D59" t="s">
        <v>12</v>
      </c>
      <c r="E59" t="s">
        <v>18</v>
      </c>
      <c r="F59" t="s">
        <v>19</v>
      </c>
      <c r="G59">
        <v>5</v>
      </c>
      <c r="H59" s="3">
        <v>799</v>
      </c>
      <c r="I59" s="3">
        <v>3995</v>
      </c>
      <c r="J59" t="s">
        <v>44</v>
      </c>
      <c r="K59" t="str">
        <f t="shared" si="0"/>
        <v>Apr</v>
      </c>
    </row>
    <row r="60" spans="1:11" x14ac:dyDescent="0.3">
      <c r="A60" t="s">
        <v>137</v>
      </c>
      <c r="B60" s="2">
        <v>46132</v>
      </c>
      <c r="C60" t="s">
        <v>38</v>
      </c>
      <c r="D60" t="s">
        <v>35</v>
      </c>
      <c r="E60" t="s">
        <v>83</v>
      </c>
      <c r="F60" t="s">
        <v>14</v>
      </c>
      <c r="G60">
        <v>5</v>
      </c>
      <c r="H60" s="3">
        <v>699</v>
      </c>
      <c r="I60" s="3">
        <v>3495</v>
      </c>
      <c r="J60" t="s">
        <v>15</v>
      </c>
      <c r="K60" t="str">
        <f t="shared" si="0"/>
        <v>Apr</v>
      </c>
    </row>
    <row r="61" spans="1:11" x14ac:dyDescent="0.3">
      <c r="A61" t="s">
        <v>138</v>
      </c>
      <c r="B61" s="2">
        <v>46133</v>
      </c>
      <c r="C61" t="s">
        <v>106</v>
      </c>
      <c r="D61" t="s">
        <v>26</v>
      </c>
      <c r="E61" t="s">
        <v>18</v>
      </c>
      <c r="F61" t="s">
        <v>19</v>
      </c>
      <c r="G61">
        <v>2</v>
      </c>
      <c r="H61" s="3">
        <v>799</v>
      </c>
      <c r="I61" s="3">
        <v>1598</v>
      </c>
      <c r="J61" t="s">
        <v>44</v>
      </c>
      <c r="K61" t="str">
        <f t="shared" si="0"/>
        <v>Apr</v>
      </c>
    </row>
    <row r="62" spans="1:11" x14ac:dyDescent="0.3">
      <c r="A62" t="s">
        <v>139</v>
      </c>
      <c r="B62" s="2">
        <v>46134</v>
      </c>
      <c r="C62" t="s">
        <v>108</v>
      </c>
      <c r="D62" t="s">
        <v>35</v>
      </c>
      <c r="E62" t="s">
        <v>40</v>
      </c>
      <c r="F62" t="s">
        <v>28</v>
      </c>
      <c r="G62">
        <v>3</v>
      </c>
      <c r="H62" s="3">
        <v>899</v>
      </c>
      <c r="I62" s="3">
        <v>2697</v>
      </c>
      <c r="J62" t="s">
        <v>36</v>
      </c>
      <c r="K62" t="str">
        <f t="shared" si="0"/>
        <v>Apr</v>
      </c>
    </row>
    <row r="63" spans="1:11" x14ac:dyDescent="0.3">
      <c r="A63" t="s">
        <v>140</v>
      </c>
      <c r="B63" s="2">
        <v>46135</v>
      </c>
      <c r="C63" t="s">
        <v>141</v>
      </c>
      <c r="D63" t="s">
        <v>35</v>
      </c>
      <c r="E63" t="s">
        <v>23</v>
      </c>
      <c r="F63" t="s">
        <v>19</v>
      </c>
      <c r="G63">
        <v>3</v>
      </c>
      <c r="H63" s="3">
        <v>499</v>
      </c>
      <c r="I63" s="3">
        <v>1497</v>
      </c>
      <c r="J63" t="s">
        <v>36</v>
      </c>
      <c r="K63" t="str">
        <f t="shared" si="0"/>
        <v>Apr</v>
      </c>
    </row>
    <row r="64" spans="1:11" x14ac:dyDescent="0.3">
      <c r="A64" t="s">
        <v>142</v>
      </c>
      <c r="B64" s="2">
        <v>46137</v>
      </c>
      <c r="C64" t="s">
        <v>143</v>
      </c>
      <c r="D64" t="s">
        <v>39</v>
      </c>
      <c r="E64" t="s">
        <v>23</v>
      </c>
      <c r="F64" t="s">
        <v>19</v>
      </c>
      <c r="G64">
        <v>2</v>
      </c>
      <c r="H64" s="3">
        <v>499</v>
      </c>
      <c r="I64" s="3">
        <v>998</v>
      </c>
      <c r="J64" t="s">
        <v>36</v>
      </c>
      <c r="K64" t="str">
        <f t="shared" si="0"/>
        <v>Apr</v>
      </c>
    </row>
    <row r="65" spans="1:11" x14ac:dyDescent="0.3">
      <c r="A65" t="s">
        <v>144</v>
      </c>
      <c r="B65" s="2">
        <v>46137</v>
      </c>
      <c r="C65" t="s">
        <v>145</v>
      </c>
      <c r="D65" t="s">
        <v>71</v>
      </c>
      <c r="E65" t="s">
        <v>27</v>
      </c>
      <c r="F65" t="s">
        <v>28</v>
      </c>
      <c r="G65">
        <v>5</v>
      </c>
      <c r="H65" s="3">
        <v>1499</v>
      </c>
      <c r="I65" s="3">
        <v>7495</v>
      </c>
      <c r="J65" t="s">
        <v>15</v>
      </c>
      <c r="K65" t="str">
        <f t="shared" si="0"/>
        <v>Apr</v>
      </c>
    </row>
    <row r="66" spans="1:11" x14ac:dyDescent="0.3">
      <c r="A66" t="s">
        <v>146</v>
      </c>
      <c r="B66" s="2">
        <v>46138</v>
      </c>
      <c r="C66" t="s">
        <v>54</v>
      </c>
      <c r="D66" t="s">
        <v>12</v>
      </c>
      <c r="E66" t="s">
        <v>65</v>
      </c>
      <c r="F66" t="s">
        <v>14</v>
      </c>
      <c r="G66">
        <v>4</v>
      </c>
      <c r="H66" s="3">
        <v>1999</v>
      </c>
      <c r="I66" s="3">
        <v>7996</v>
      </c>
      <c r="J66" t="s">
        <v>44</v>
      </c>
      <c r="K66" t="str">
        <f t="shared" si="0"/>
        <v>Apr</v>
      </c>
    </row>
    <row r="67" spans="1:11" x14ac:dyDescent="0.3">
      <c r="A67" t="s">
        <v>147</v>
      </c>
      <c r="B67" s="2">
        <v>46140</v>
      </c>
      <c r="C67" t="s">
        <v>148</v>
      </c>
      <c r="D67" t="s">
        <v>43</v>
      </c>
      <c r="E67" t="s">
        <v>13</v>
      </c>
      <c r="F67" t="s">
        <v>14</v>
      </c>
      <c r="G67">
        <v>3</v>
      </c>
      <c r="H67" s="3">
        <v>1299</v>
      </c>
      <c r="I67" s="3">
        <v>3897</v>
      </c>
      <c r="J67" t="s">
        <v>36</v>
      </c>
      <c r="K67" t="str">
        <f t="shared" ref="K67:K101" si="1">TEXT(B67,"mmm")</f>
        <v>Apr</v>
      </c>
    </row>
    <row r="68" spans="1:11" x14ac:dyDescent="0.3">
      <c r="A68" t="s">
        <v>149</v>
      </c>
      <c r="B68" s="2">
        <v>46142</v>
      </c>
      <c r="C68" t="s">
        <v>150</v>
      </c>
      <c r="D68" t="s">
        <v>39</v>
      </c>
      <c r="E68" t="s">
        <v>23</v>
      </c>
      <c r="F68" t="s">
        <v>19</v>
      </c>
      <c r="G68">
        <v>5</v>
      </c>
      <c r="H68" s="3">
        <v>499</v>
      </c>
      <c r="I68" s="3">
        <v>2495</v>
      </c>
      <c r="J68" t="s">
        <v>20</v>
      </c>
      <c r="K68" t="str">
        <f t="shared" si="1"/>
        <v>Apr</v>
      </c>
    </row>
    <row r="69" spans="1:11" x14ac:dyDescent="0.3">
      <c r="A69" t="s">
        <v>151</v>
      </c>
      <c r="B69" s="2">
        <v>46144</v>
      </c>
      <c r="C69" t="s">
        <v>152</v>
      </c>
      <c r="D69" t="s">
        <v>43</v>
      </c>
      <c r="E69" t="s">
        <v>55</v>
      </c>
      <c r="F69" t="s">
        <v>28</v>
      </c>
      <c r="G69">
        <v>2</v>
      </c>
      <c r="H69" s="3">
        <v>599</v>
      </c>
      <c r="I69" s="3">
        <v>1198</v>
      </c>
      <c r="J69" t="s">
        <v>50</v>
      </c>
      <c r="K69" t="str">
        <f t="shared" si="1"/>
        <v>May</v>
      </c>
    </row>
    <row r="70" spans="1:11" x14ac:dyDescent="0.3">
      <c r="A70" t="s">
        <v>153</v>
      </c>
      <c r="B70" s="2">
        <v>46151</v>
      </c>
      <c r="C70" t="s">
        <v>154</v>
      </c>
      <c r="D70" t="s">
        <v>43</v>
      </c>
      <c r="E70" t="s">
        <v>65</v>
      </c>
      <c r="F70" t="s">
        <v>14</v>
      </c>
      <c r="G70">
        <v>3</v>
      </c>
      <c r="H70" s="3">
        <v>1999</v>
      </c>
      <c r="I70" s="3">
        <v>5997</v>
      </c>
      <c r="J70" t="s">
        <v>44</v>
      </c>
      <c r="K70" t="str">
        <f t="shared" si="1"/>
        <v>May</v>
      </c>
    </row>
    <row r="71" spans="1:11" x14ac:dyDescent="0.3">
      <c r="A71" t="s">
        <v>155</v>
      </c>
      <c r="B71" s="2">
        <v>46153</v>
      </c>
      <c r="C71" t="s">
        <v>52</v>
      </c>
      <c r="D71" t="s">
        <v>49</v>
      </c>
      <c r="E71" t="s">
        <v>68</v>
      </c>
      <c r="F71" t="s">
        <v>19</v>
      </c>
      <c r="G71">
        <v>2</v>
      </c>
      <c r="H71" s="3">
        <v>299</v>
      </c>
      <c r="I71" s="3">
        <v>598</v>
      </c>
      <c r="J71" t="s">
        <v>36</v>
      </c>
      <c r="K71" t="str">
        <f t="shared" si="1"/>
        <v>May</v>
      </c>
    </row>
    <row r="72" spans="1:11" x14ac:dyDescent="0.3">
      <c r="A72" t="s">
        <v>156</v>
      </c>
      <c r="B72" s="2">
        <v>46158</v>
      </c>
      <c r="C72" t="s">
        <v>157</v>
      </c>
      <c r="D72" t="s">
        <v>30</v>
      </c>
      <c r="E72" t="s">
        <v>62</v>
      </c>
      <c r="F72" t="s">
        <v>28</v>
      </c>
      <c r="G72">
        <v>5</v>
      </c>
      <c r="H72" s="3">
        <v>399</v>
      </c>
      <c r="I72" s="3">
        <v>1995</v>
      </c>
      <c r="J72" t="s">
        <v>50</v>
      </c>
      <c r="K72" t="str">
        <f t="shared" si="1"/>
        <v>May</v>
      </c>
    </row>
    <row r="73" spans="1:11" x14ac:dyDescent="0.3">
      <c r="A73" t="s">
        <v>158</v>
      </c>
      <c r="B73" s="2">
        <v>46161</v>
      </c>
      <c r="C73" t="s">
        <v>70</v>
      </c>
      <c r="D73" t="s">
        <v>71</v>
      </c>
      <c r="E73" t="s">
        <v>23</v>
      </c>
      <c r="F73" t="s">
        <v>19</v>
      </c>
      <c r="G73">
        <v>3</v>
      </c>
      <c r="H73" s="3">
        <v>499</v>
      </c>
      <c r="I73" s="3">
        <v>1497</v>
      </c>
      <c r="J73" t="s">
        <v>36</v>
      </c>
      <c r="K73" t="str">
        <f t="shared" si="1"/>
        <v>May</v>
      </c>
    </row>
    <row r="74" spans="1:11" x14ac:dyDescent="0.3">
      <c r="A74" t="s">
        <v>159</v>
      </c>
      <c r="B74" s="2">
        <v>46162</v>
      </c>
      <c r="C74" t="s">
        <v>103</v>
      </c>
      <c r="D74" t="s">
        <v>30</v>
      </c>
      <c r="E74" t="s">
        <v>65</v>
      </c>
      <c r="F74" t="s">
        <v>14</v>
      </c>
      <c r="G74">
        <v>2</v>
      </c>
      <c r="H74" s="3">
        <v>1999</v>
      </c>
      <c r="I74" s="3">
        <v>3998</v>
      </c>
      <c r="J74" t="s">
        <v>20</v>
      </c>
      <c r="K74" t="str">
        <f t="shared" si="1"/>
        <v>May</v>
      </c>
    </row>
    <row r="75" spans="1:11" x14ac:dyDescent="0.3">
      <c r="A75" t="s">
        <v>160</v>
      </c>
      <c r="B75" s="2">
        <v>46164</v>
      </c>
      <c r="C75" t="s">
        <v>106</v>
      </c>
      <c r="D75" t="s">
        <v>12</v>
      </c>
      <c r="E75" t="s">
        <v>65</v>
      </c>
      <c r="F75" t="s">
        <v>14</v>
      </c>
      <c r="G75">
        <v>3</v>
      </c>
      <c r="H75" s="3">
        <v>1999</v>
      </c>
      <c r="I75" s="3">
        <v>5997</v>
      </c>
      <c r="J75" t="s">
        <v>50</v>
      </c>
      <c r="K75" t="str">
        <f t="shared" si="1"/>
        <v>May</v>
      </c>
    </row>
    <row r="76" spans="1:11" x14ac:dyDescent="0.3">
      <c r="A76" t="s">
        <v>161</v>
      </c>
      <c r="B76" s="2">
        <v>46166</v>
      </c>
      <c r="C76" t="s">
        <v>162</v>
      </c>
      <c r="D76" t="s">
        <v>30</v>
      </c>
      <c r="E76" t="s">
        <v>13</v>
      </c>
      <c r="F76" t="s">
        <v>14</v>
      </c>
      <c r="G76">
        <v>5</v>
      </c>
      <c r="H76" s="3">
        <v>1299</v>
      </c>
      <c r="I76" s="3">
        <v>6495</v>
      </c>
      <c r="J76" t="s">
        <v>50</v>
      </c>
      <c r="K76" t="str">
        <f t="shared" si="1"/>
        <v>May</v>
      </c>
    </row>
    <row r="77" spans="1:11" x14ac:dyDescent="0.3">
      <c r="A77" t="s">
        <v>163</v>
      </c>
      <c r="B77" s="2">
        <v>46166</v>
      </c>
      <c r="C77" t="s">
        <v>164</v>
      </c>
      <c r="D77" t="s">
        <v>43</v>
      </c>
      <c r="E77" t="s">
        <v>18</v>
      </c>
      <c r="F77" t="s">
        <v>19</v>
      </c>
      <c r="G77">
        <v>4</v>
      </c>
      <c r="H77" s="3">
        <v>799</v>
      </c>
      <c r="I77" s="3">
        <v>3196</v>
      </c>
      <c r="J77" t="s">
        <v>36</v>
      </c>
      <c r="K77" t="str">
        <f t="shared" si="1"/>
        <v>May</v>
      </c>
    </row>
    <row r="78" spans="1:11" x14ac:dyDescent="0.3">
      <c r="A78" t="s">
        <v>165</v>
      </c>
      <c r="B78" s="2">
        <v>46167</v>
      </c>
      <c r="C78" t="s">
        <v>76</v>
      </c>
      <c r="D78" t="s">
        <v>43</v>
      </c>
      <c r="E78" t="s">
        <v>68</v>
      </c>
      <c r="F78" t="s">
        <v>19</v>
      </c>
      <c r="G78">
        <v>5</v>
      </c>
      <c r="H78" s="3">
        <v>299</v>
      </c>
      <c r="I78" s="3">
        <v>1495</v>
      </c>
      <c r="J78" t="s">
        <v>20</v>
      </c>
      <c r="K78" t="str">
        <f t="shared" si="1"/>
        <v>May</v>
      </c>
    </row>
    <row r="79" spans="1:11" x14ac:dyDescent="0.3">
      <c r="A79" t="s">
        <v>166</v>
      </c>
      <c r="B79" s="2">
        <v>46168</v>
      </c>
      <c r="C79" t="s">
        <v>61</v>
      </c>
      <c r="D79" t="s">
        <v>26</v>
      </c>
      <c r="E79" t="s">
        <v>23</v>
      </c>
      <c r="F79" t="s">
        <v>19</v>
      </c>
      <c r="G79">
        <v>1</v>
      </c>
      <c r="H79" s="3">
        <v>499</v>
      </c>
      <c r="I79" s="3">
        <v>499</v>
      </c>
      <c r="J79" t="s">
        <v>20</v>
      </c>
      <c r="K79" t="str">
        <f t="shared" si="1"/>
        <v>May</v>
      </c>
    </row>
    <row r="80" spans="1:11" x14ac:dyDescent="0.3">
      <c r="A80" t="s">
        <v>167</v>
      </c>
      <c r="B80" s="2">
        <v>46169</v>
      </c>
      <c r="C80" t="s">
        <v>168</v>
      </c>
      <c r="D80" t="s">
        <v>35</v>
      </c>
      <c r="E80" t="s">
        <v>18</v>
      </c>
      <c r="F80" t="s">
        <v>19</v>
      </c>
      <c r="G80">
        <v>2</v>
      </c>
      <c r="H80" s="3">
        <v>799</v>
      </c>
      <c r="I80" s="3">
        <v>1598</v>
      </c>
      <c r="J80" t="s">
        <v>15</v>
      </c>
      <c r="K80" t="str">
        <f t="shared" si="1"/>
        <v>May</v>
      </c>
    </row>
    <row r="81" spans="1:11" x14ac:dyDescent="0.3">
      <c r="A81" t="s">
        <v>169</v>
      </c>
      <c r="B81" s="2">
        <v>46172</v>
      </c>
      <c r="C81" t="s">
        <v>170</v>
      </c>
      <c r="D81" t="s">
        <v>49</v>
      </c>
      <c r="E81" t="s">
        <v>55</v>
      </c>
      <c r="F81" t="s">
        <v>28</v>
      </c>
      <c r="G81">
        <v>1</v>
      </c>
      <c r="H81" s="3">
        <v>599</v>
      </c>
      <c r="I81" s="3">
        <v>599</v>
      </c>
      <c r="J81" t="s">
        <v>36</v>
      </c>
      <c r="K81" t="str">
        <f t="shared" si="1"/>
        <v>May</v>
      </c>
    </row>
    <row r="82" spans="1:11" x14ac:dyDescent="0.3">
      <c r="A82" t="s">
        <v>171</v>
      </c>
      <c r="B82" s="2">
        <v>46173</v>
      </c>
      <c r="C82" t="s">
        <v>172</v>
      </c>
      <c r="D82" t="s">
        <v>26</v>
      </c>
      <c r="E82" t="s">
        <v>18</v>
      </c>
      <c r="F82" t="s">
        <v>19</v>
      </c>
      <c r="G82">
        <v>2</v>
      </c>
      <c r="H82" s="3">
        <v>799</v>
      </c>
      <c r="I82" s="3">
        <v>1598</v>
      </c>
      <c r="J82" t="s">
        <v>36</v>
      </c>
      <c r="K82" t="str">
        <f t="shared" si="1"/>
        <v>May</v>
      </c>
    </row>
    <row r="83" spans="1:11" x14ac:dyDescent="0.3">
      <c r="A83" t="s">
        <v>173</v>
      </c>
      <c r="B83" s="2">
        <v>46178</v>
      </c>
      <c r="C83" t="s">
        <v>89</v>
      </c>
      <c r="D83" t="s">
        <v>49</v>
      </c>
      <c r="E83" t="s">
        <v>13</v>
      </c>
      <c r="F83" t="s">
        <v>14</v>
      </c>
      <c r="G83">
        <v>5</v>
      </c>
      <c r="H83" s="3">
        <v>1299</v>
      </c>
      <c r="I83" s="3">
        <v>6495</v>
      </c>
      <c r="J83" t="s">
        <v>44</v>
      </c>
      <c r="K83" t="str">
        <f t="shared" si="1"/>
        <v>Jun</v>
      </c>
    </row>
    <row r="84" spans="1:11" x14ac:dyDescent="0.3">
      <c r="A84" t="s">
        <v>174</v>
      </c>
      <c r="B84" s="2">
        <v>46179</v>
      </c>
      <c r="C84" t="s">
        <v>150</v>
      </c>
      <c r="D84" t="s">
        <v>26</v>
      </c>
      <c r="E84" t="s">
        <v>65</v>
      </c>
      <c r="F84" t="s">
        <v>14</v>
      </c>
      <c r="G84">
        <v>3</v>
      </c>
      <c r="H84" s="3">
        <v>1999</v>
      </c>
      <c r="I84" s="3">
        <v>5997</v>
      </c>
      <c r="J84" t="s">
        <v>20</v>
      </c>
      <c r="K84" t="str">
        <f t="shared" si="1"/>
        <v>Jun</v>
      </c>
    </row>
    <row r="85" spans="1:11" x14ac:dyDescent="0.3">
      <c r="A85" t="s">
        <v>175</v>
      </c>
      <c r="B85" s="2">
        <v>46182</v>
      </c>
      <c r="C85" t="s">
        <v>148</v>
      </c>
      <c r="D85" t="s">
        <v>43</v>
      </c>
      <c r="E85" t="s">
        <v>40</v>
      </c>
      <c r="F85" t="s">
        <v>28</v>
      </c>
      <c r="G85">
        <v>3</v>
      </c>
      <c r="H85" s="3">
        <v>899</v>
      </c>
      <c r="I85" s="3">
        <v>2697</v>
      </c>
      <c r="J85" t="s">
        <v>44</v>
      </c>
      <c r="K85" t="str">
        <f t="shared" si="1"/>
        <v>Jun</v>
      </c>
    </row>
    <row r="86" spans="1:11" x14ac:dyDescent="0.3">
      <c r="A86" t="s">
        <v>176</v>
      </c>
      <c r="B86" s="2">
        <v>46183</v>
      </c>
      <c r="C86" t="s">
        <v>177</v>
      </c>
      <c r="D86" t="s">
        <v>39</v>
      </c>
      <c r="E86" t="s">
        <v>18</v>
      </c>
      <c r="F86" t="s">
        <v>19</v>
      </c>
      <c r="G86">
        <v>4</v>
      </c>
      <c r="H86" s="3">
        <v>799</v>
      </c>
      <c r="I86" s="3">
        <v>3196</v>
      </c>
      <c r="J86" t="s">
        <v>50</v>
      </c>
      <c r="K86" t="str">
        <f t="shared" si="1"/>
        <v>Jun</v>
      </c>
    </row>
    <row r="87" spans="1:11" x14ac:dyDescent="0.3">
      <c r="A87" t="s">
        <v>178</v>
      </c>
      <c r="B87" s="2">
        <v>46185</v>
      </c>
      <c r="C87" t="s">
        <v>111</v>
      </c>
      <c r="D87" t="s">
        <v>39</v>
      </c>
      <c r="E87" t="s">
        <v>55</v>
      </c>
      <c r="F87" t="s">
        <v>28</v>
      </c>
      <c r="G87">
        <v>1</v>
      </c>
      <c r="H87" s="3">
        <v>599</v>
      </c>
      <c r="I87" s="3">
        <v>599</v>
      </c>
      <c r="J87" t="s">
        <v>36</v>
      </c>
      <c r="K87" t="str">
        <f t="shared" si="1"/>
        <v>Jun</v>
      </c>
    </row>
    <row r="88" spans="1:11" x14ac:dyDescent="0.3">
      <c r="A88" t="s">
        <v>179</v>
      </c>
      <c r="B88" s="2">
        <v>46189</v>
      </c>
      <c r="C88" t="s">
        <v>180</v>
      </c>
      <c r="D88" t="s">
        <v>26</v>
      </c>
      <c r="E88" t="s">
        <v>40</v>
      </c>
      <c r="F88" t="s">
        <v>28</v>
      </c>
      <c r="G88">
        <v>1</v>
      </c>
      <c r="H88" s="3">
        <v>899</v>
      </c>
      <c r="I88" s="3">
        <v>899</v>
      </c>
      <c r="J88" t="s">
        <v>36</v>
      </c>
      <c r="K88" t="str">
        <f t="shared" si="1"/>
        <v>Jun</v>
      </c>
    </row>
    <row r="89" spans="1:11" x14ac:dyDescent="0.3">
      <c r="A89" t="s">
        <v>181</v>
      </c>
      <c r="B89" s="2">
        <v>46190</v>
      </c>
      <c r="C89" t="s">
        <v>87</v>
      </c>
      <c r="D89" t="s">
        <v>35</v>
      </c>
      <c r="E89" t="s">
        <v>83</v>
      </c>
      <c r="F89" t="s">
        <v>14</v>
      </c>
      <c r="G89">
        <v>5</v>
      </c>
      <c r="H89" s="3">
        <v>699</v>
      </c>
      <c r="I89" s="3">
        <v>3495</v>
      </c>
      <c r="J89" t="s">
        <v>50</v>
      </c>
      <c r="K89" t="str">
        <f t="shared" si="1"/>
        <v>Jun</v>
      </c>
    </row>
    <row r="90" spans="1:11" x14ac:dyDescent="0.3">
      <c r="A90" t="s">
        <v>182</v>
      </c>
      <c r="B90" s="2">
        <v>46190</v>
      </c>
      <c r="C90" t="s">
        <v>157</v>
      </c>
      <c r="D90" t="s">
        <v>43</v>
      </c>
      <c r="E90" t="s">
        <v>27</v>
      </c>
      <c r="F90" t="s">
        <v>28</v>
      </c>
      <c r="G90">
        <v>2</v>
      </c>
      <c r="H90" s="3">
        <v>1499</v>
      </c>
      <c r="I90" s="3">
        <v>2998</v>
      </c>
      <c r="J90" t="s">
        <v>50</v>
      </c>
      <c r="K90" t="str">
        <f t="shared" si="1"/>
        <v>Jun</v>
      </c>
    </row>
    <row r="91" spans="1:11" x14ac:dyDescent="0.3">
      <c r="A91" t="s">
        <v>183</v>
      </c>
      <c r="B91" s="2">
        <v>46191</v>
      </c>
      <c r="C91" t="s">
        <v>125</v>
      </c>
      <c r="D91" t="s">
        <v>30</v>
      </c>
      <c r="E91" t="s">
        <v>40</v>
      </c>
      <c r="F91" t="s">
        <v>28</v>
      </c>
      <c r="G91">
        <v>4</v>
      </c>
      <c r="H91" s="3">
        <v>899</v>
      </c>
      <c r="I91" s="3">
        <v>3596</v>
      </c>
      <c r="J91" t="s">
        <v>44</v>
      </c>
      <c r="K91" t="str">
        <f t="shared" si="1"/>
        <v>Jun</v>
      </c>
    </row>
    <row r="92" spans="1:11" x14ac:dyDescent="0.3">
      <c r="A92" t="s">
        <v>184</v>
      </c>
      <c r="B92" s="2">
        <v>46192</v>
      </c>
      <c r="C92" t="s">
        <v>132</v>
      </c>
      <c r="D92" t="s">
        <v>30</v>
      </c>
      <c r="E92" t="s">
        <v>57</v>
      </c>
      <c r="F92" t="s">
        <v>32</v>
      </c>
      <c r="G92">
        <v>5</v>
      </c>
      <c r="H92" s="3">
        <v>199</v>
      </c>
      <c r="I92" s="3">
        <v>995</v>
      </c>
      <c r="J92" t="s">
        <v>36</v>
      </c>
      <c r="K92" t="str">
        <f t="shared" si="1"/>
        <v>Jun</v>
      </c>
    </row>
    <row r="93" spans="1:11" x14ac:dyDescent="0.3">
      <c r="A93" t="s">
        <v>185</v>
      </c>
      <c r="B93" s="2">
        <v>46193</v>
      </c>
      <c r="C93" t="s">
        <v>186</v>
      </c>
      <c r="D93" t="s">
        <v>30</v>
      </c>
      <c r="E93" t="s">
        <v>18</v>
      </c>
      <c r="F93" t="s">
        <v>19</v>
      </c>
      <c r="G93">
        <v>3</v>
      </c>
      <c r="H93" s="3">
        <v>799</v>
      </c>
      <c r="I93" s="3">
        <v>2397</v>
      </c>
      <c r="J93" t="s">
        <v>50</v>
      </c>
      <c r="K93" t="str">
        <f t="shared" si="1"/>
        <v>Jun</v>
      </c>
    </row>
    <row r="94" spans="1:11" x14ac:dyDescent="0.3">
      <c r="A94" t="s">
        <v>187</v>
      </c>
      <c r="B94" s="2">
        <v>46196</v>
      </c>
      <c r="C94" t="s">
        <v>154</v>
      </c>
      <c r="D94" t="s">
        <v>39</v>
      </c>
      <c r="E94" t="s">
        <v>13</v>
      </c>
      <c r="F94" t="s">
        <v>14</v>
      </c>
      <c r="G94">
        <v>4</v>
      </c>
      <c r="H94" s="3">
        <v>1299</v>
      </c>
      <c r="I94" s="3">
        <v>5196</v>
      </c>
      <c r="J94" t="s">
        <v>50</v>
      </c>
      <c r="K94" t="str">
        <f t="shared" si="1"/>
        <v>Jun</v>
      </c>
    </row>
    <row r="95" spans="1:11" x14ac:dyDescent="0.3">
      <c r="A95" t="s">
        <v>188</v>
      </c>
      <c r="B95" s="2">
        <v>46196</v>
      </c>
      <c r="C95" t="s">
        <v>180</v>
      </c>
      <c r="D95" t="s">
        <v>43</v>
      </c>
      <c r="E95" t="s">
        <v>62</v>
      </c>
      <c r="F95" t="s">
        <v>28</v>
      </c>
      <c r="G95">
        <v>1</v>
      </c>
      <c r="H95" s="3">
        <v>399</v>
      </c>
      <c r="I95" s="3">
        <v>399</v>
      </c>
      <c r="J95" t="s">
        <v>20</v>
      </c>
      <c r="K95" t="str">
        <f t="shared" si="1"/>
        <v>Jun</v>
      </c>
    </row>
    <row r="96" spans="1:11" x14ac:dyDescent="0.3">
      <c r="A96" t="s">
        <v>189</v>
      </c>
      <c r="B96" s="2">
        <v>46197</v>
      </c>
      <c r="C96" t="s">
        <v>111</v>
      </c>
      <c r="D96" t="s">
        <v>43</v>
      </c>
      <c r="E96" t="s">
        <v>13</v>
      </c>
      <c r="F96" t="s">
        <v>14</v>
      </c>
      <c r="G96">
        <v>2</v>
      </c>
      <c r="H96" s="3">
        <v>1299</v>
      </c>
      <c r="I96" s="3">
        <v>2598</v>
      </c>
      <c r="J96" t="s">
        <v>50</v>
      </c>
      <c r="K96" t="str">
        <f t="shared" si="1"/>
        <v>Jun</v>
      </c>
    </row>
    <row r="97" spans="1:11" x14ac:dyDescent="0.3">
      <c r="A97" t="s">
        <v>190</v>
      </c>
      <c r="B97" s="2">
        <v>46197</v>
      </c>
      <c r="C97" t="s">
        <v>191</v>
      </c>
      <c r="D97" t="s">
        <v>39</v>
      </c>
      <c r="E97" t="s">
        <v>55</v>
      </c>
      <c r="F97" t="s">
        <v>28</v>
      </c>
      <c r="G97">
        <v>1</v>
      </c>
      <c r="H97" s="3">
        <v>599</v>
      </c>
      <c r="I97" s="3">
        <v>599</v>
      </c>
      <c r="J97" t="s">
        <v>44</v>
      </c>
      <c r="K97" t="str">
        <f t="shared" si="1"/>
        <v>Jun</v>
      </c>
    </row>
    <row r="98" spans="1:11" x14ac:dyDescent="0.3">
      <c r="A98" t="s">
        <v>192</v>
      </c>
      <c r="B98" s="2">
        <v>46198</v>
      </c>
      <c r="C98" t="s">
        <v>89</v>
      </c>
      <c r="D98" t="s">
        <v>30</v>
      </c>
      <c r="E98" t="s">
        <v>18</v>
      </c>
      <c r="F98" t="s">
        <v>19</v>
      </c>
      <c r="G98">
        <v>5</v>
      </c>
      <c r="H98" s="3">
        <v>799</v>
      </c>
      <c r="I98" s="3">
        <v>3995</v>
      </c>
      <c r="J98" t="s">
        <v>50</v>
      </c>
      <c r="K98" t="str">
        <f t="shared" si="1"/>
        <v>Jun</v>
      </c>
    </row>
    <row r="99" spans="1:11" x14ac:dyDescent="0.3">
      <c r="A99" t="s">
        <v>193</v>
      </c>
      <c r="B99" s="2">
        <v>46201</v>
      </c>
      <c r="C99" t="s">
        <v>141</v>
      </c>
      <c r="D99" t="s">
        <v>35</v>
      </c>
      <c r="E99" t="s">
        <v>27</v>
      </c>
      <c r="F99" t="s">
        <v>28</v>
      </c>
      <c r="G99">
        <v>2</v>
      </c>
      <c r="H99" s="3">
        <v>1499</v>
      </c>
      <c r="I99" s="3">
        <v>2998</v>
      </c>
      <c r="J99" t="s">
        <v>36</v>
      </c>
      <c r="K99" t="str">
        <f t="shared" si="1"/>
        <v>Jun</v>
      </c>
    </row>
    <row r="100" spans="1:11" x14ac:dyDescent="0.3">
      <c r="A100" t="s">
        <v>194</v>
      </c>
      <c r="B100" s="2">
        <v>46202</v>
      </c>
      <c r="C100" t="s">
        <v>99</v>
      </c>
      <c r="D100" t="s">
        <v>49</v>
      </c>
      <c r="E100" t="s">
        <v>13</v>
      </c>
      <c r="F100" t="s">
        <v>14</v>
      </c>
      <c r="G100">
        <v>3</v>
      </c>
      <c r="H100" s="3">
        <v>1299</v>
      </c>
      <c r="I100" s="3">
        <v>3897</v>
      </c>
      <c r="J100" t="s">
        <v>20</v>
      </c>
      <c r="K100" t="str">
        <f t="shared" si="1"/>
        <v>Jun</v>
      </c>
    </row>
    <row r="101" spans="1:11" x14ac:dyDescent="0.3">
      <c r="A101" t="s">
        <v>195</v>
      </c>
      <c r="B101" s="2">
        <v>46203</v>
      </c>
      <c r="C101" t="s">
        <v>136</v>
      </c>
      <c r="D101" t="s">
        <v>43</v>
      </c>
      <c r="E101" t="s">
        <v>65</v>
      </c>
      <c r="F101" t="s">
        <v>14</v>
      </c>
      <c r="G101">
        <v>2</v>
      </c>
      <c r="H101" s="3">
        <v>1999</v>
      </c>
      <c r="I101" s="3">
        <v>3998</v>
      </c>
      <c r="J101" t="s">
        <v>50</v>
      </c>
      <c r="K101" t="str">
        <f t="shared" si="1"/>
        <v>Jun</v>
      </c>
    </row>
  </sheetData>
  <autoFilter ref="A1:J101" xr:uid="{00000000-0009-0000-0000-000000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77439-0454-468A-B594-020AFE73EA2E}">
  <dimension ref="A1:P40"/>
  <sheetViews>
    <sheetView showGridLines="0" tabSelected="1" workbookViewId="0">
      <selection sqref="A1:P40"/>
    </sheetView>
  </sheetViews>
  <sheetFormatPr defaultRowHeight="14.4" x14ac:dyDescent="0.3"/>
  <sheetData>
    <row r="1" spans="1:16" x14ac:dyDescent="0.3">
      <c r="A1" s="7" t="s">
        <v>220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x14ac:dyDescent="0.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16" x14ac:dyDescent="0.3">
      <c r="A4" s="8" t="s">
        <v>223</v>
      </c>
      <c r="B4" s="8"/>
      <c r="C4" s="8"/>
      <c r="D4" s="8"/>
      <c r="E4" s="8" t="s">
        <v>224</v>
      </c>
      <c r="F4" s="8"/>
      <c r="G4" s="8"/>
      <c r="H4" s="8"/>
      <c r="I4" s="8" t="s">
        <v>222</v>
      </c>
      <c r="J4" s="8"/>
      <c r="K4" s="8"/>
      <c r="L4" s="8"/>
      <c r="M4" s="8" t="s">
        <v>221</v>
      </c>
      <c r="N4" s="8"/>
      <c r="O4" s="8"/>
      <c r="P4" s="8"/>
    </row>
    <row r="5" spans="1:16" x14ac:dyDescent="0.3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 x14ac:dyDescent="0.3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spans="1:16" x14ac:dyDescent="0.3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16" x14ac:dyDescent="0.3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16" x14ac:dyDescent="0.3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16" x14ac:dyDescent="0.3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</row>
    <row r="11" spans="1:16" x14ac:dyDescent="0.3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</row>
    <row r="12" spans="1:16" x14ac:dyDescent="0.3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</row>
    <row r="13" spans="1:16" x14ac:dyDescent="0.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</row>
    <row r="14" spans="1:16" x14ac:dyDescent="0.3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</row>
    <row r="15" spans="1:16" x14ac:dyDescent="0.3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</row>
    <row r="16" spans="1:16" x14ac:dyDescent="0.3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</row>
    <row r="17" spans="1:16" x14ac:dyDescent="0.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</row>
    <row r="18" spans="1:16" x14ac:dyDescent="0.3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</row>
    <row r="19" spans="1:16" x14ac:dyDescent="0.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</row>
    <row r="20" spans="1:16" x14ac:dyDescent="0.3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</row>
    <row r="21" spans="1:16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</row>
    <row r="22" spans="1:16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</row>
    <row r="23" spans="1:16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</row>
    <row r="24" spans="1:16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</row>
    <row r="25" spans="1:16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</row>
    <row r="26" spans="1:16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</row>
    <row r="27" spans="1:16" x14ac:dyDescent="0.3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</row>
    <row r="28" spans="1:16" x14ac:dyDescent="0.3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</row>
    <row r="29" spans="1:16" x14ac:dyDescent="0.3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</row>
    <row r="30" spans="1:16" x14ac:dyDescent="0.3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</row>
    <row r="31" spans="1:16" x14ac:dyDescent="0.3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</row>
    <row r="32" spans="1:16" x14ac:dyDescent="0.3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</row>
    <row r="33" spans="1:16" x14ac:dyDescent="0.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</row>
    <row r="34" spans="1:16" x14ac:dyDescent="0.3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</row>
    <row r="35" spans="1:16" x14ac:dyDescent="0.3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</row>
    <row r="36" spans="1:16" x14ac:dyDescent="0.3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</row>
    <row r="37" spans="1:16" x14ac:dyDescent="0.3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</row>
    <row r="38" spans="1:16" x14ac:dyDescent="0.3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</row>
    <row r="39" spans="1:16" x14ac:dyDescent="0.3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</row>
    <row r="40" spans="1:16" x14ac:dyDescent="0.3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</row>
  </sheetData>
  <mergeCells count="5">
    <mergeCell ref="A1:P2"/>
    <mergeCell ref="A4:D6"/>
    <mergeCell ref="I4:L6"/>
    <mergeCell ref="E4:H6"/>
    <mergeCell ref="M4:P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4" x14ac:dyDescent="0.3"/>
  <cols>
    <col min="1" max="1" width="25" customWidth="1"/>
  </cols>
  <sheetData>
    <row r="1" spans="1:2" x14ac:dyDescent="0.3">
      <c r="A1" s="1" t="s">
        <v>196</v>
      </c>
      <c r="B1" s="1" t="s">
        <v>197</v>
      </c>
    </row>
    <row r="2" spans="1:2" x14ac:dyDescent="0.3">
      <c r="A2" t="s">
        <v>198</v>
      </c>
      <c r="B2" t="s">
        <v>199</v>
      </c>
    </row>
    <row r="3" spans="1:2" x14ac:dyDescent="0.3">
      <c r="A3" t="s">
        <v>200</v>
      </c>
      <c r="B3" t="s">
        <v>201</v>
      </c>
    </row>
    <row r="4" spans="1:2" x14ac:dyDescent="0.3">
      <c r="A4" t="s">
        <v>202</v>
      </c>
      <c r="B4" t="s">
        <v>203</v>
      </c>
    </row>
    <row r="5" spans="1:2" x14ac:dyDescent="0.3">
      <c r="A5" t="s">
        <v>204</v>
      </c>
      <c r="B5" t="s">
        <v>205</v>
      </c>
    </row>
    <row r="6" spans="1:2" x14ac:dyDescent="0.3">
      <c r="A6" t="s">
        <v>206</v>
      </c>
      <c r="B6" t="s">
        <v>207</v>
      </c>
    </row>
    <row r="7" spans="1:2" x14ac:dyDescent="0.3">
      <c r="A7" t="s">
        <v>208</v>
      </c>
      <c r="B7" t="s">
        <v>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Sales Data</vt:lpstr>
      <vt:lpstr>DASHBOARD</vt:lpstr>
      <vt:lpstr>Project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Teja Thatikonda</cp:lastModifiedBy>
  <dcterms:created xsi:type="dcterms:W3CDTF">2026-09-21T12:36:14Z</dcterms:created>
  <dcterms:modified xsi:type="dcterms:W3CDTF">2026-09-24T14:19:56Z</dcterms:modified>
</cp:coreProperties>
</file>